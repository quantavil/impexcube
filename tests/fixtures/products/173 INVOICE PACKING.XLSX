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EXPORT\eSanchit Export UCS\"/>
    </mc:Choice>
  </mc:AlternateContent>
  <xr:revisionPtr revIDLastSave="0" documentId="13_ncr:1_{75798795-8B35-45FC-9919-EF643BF412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" sheetId="2" r:id="rId1"/>
    <sheet name="PACKING" sheetId="1" r:id="rId2"/>
  </sheets>
  <definedNames>
    <definedName name="_xlnm.Print_Area" localSheetId="0">INVOICE!$A$1:$I$53</definedName>
    <definedName name="_xlnm.Print_Area" localSheetId="1">PACKING!$A$1:$U$74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2" l="1"/>
  <c r="J32" i="2"/>
  <c r="J31" i="2"/>
  <c r="J30" i="2"/>
  <c r="J29" i="2"/>
  <c r="J28" i="2"/>
  <c r="J27" i="2"/>
  <c r="J26" i="2"/>
  <c r="J34" i="2"/>
  <c r="H51" i="1"/>
  <c r="F51" i="1"/>
  <c r="H47" i="1"/>
  <c r="F47" i="1"/>
  <c r="H39" i="1"/>
  <c r="F39" i="1"/>
  <c r="F37" i="1"/>
  <c r="H33" i="1"/>
  <c r="F33" i="1"/>
  <c r="H27" i="1"/>
  <c r="D61" i="1"/>
  <c r="D60" i="1"/>
  <c r="D59" i="1"/>
  <c r="D58" i="1"/>
  <c r="D57" i="1"/>
  <c r="D56" i="1"/>
  <c r="P30" i="1"/>
  <c r="N30" i="1"/>
  <c r="P27" i="1"/>
  <c r="N27" i="1"/>
  <c r="N37" i="1"/>
  <c r="P37" i="1"/>
  <c r="U37" i="1"/>
  <c r="U55" i="1"/>
  <c r="L55" i="1"/>
  <c r="N54" i="1"/>
  <c r="N52" i="1"/>
  <c r="T51" i="1"/>
  <c r="J51" i="1"/>
  <c r="P51" i="1" s="1"/>
  <c r="I34" i="2"/>
  <c r="F34" i="2"/>
  <c r="I33" i="2"/>
  <c r="I32" i="2"/>
  <c r="I31" i="2"/>
  <c r="I30" i="2"/>
  <c r="I29" i="2"/>
  <c r="I28" i="2"/>
  <c r="I27" i="2"/>
  <c r="I26" i="2"/>
  <c r="N51" i="1" l="1"/>
  <c r="N53" i="1"/>
  <c r="U51" i="1"/>
  <c r="N48" i="1" l="1"/>
  <c r="T47" i="1"/>
  <c r="J47" i="1"/>
  <c r="N47" i="1" s="1"/>
  <c r="U47" i="1" l="1"/>
  <c r="P47" i="1"/>
  <c r="N44" i="1" l="1"/>
  <c r="T43" i="1"/>
  <c r="N43" i="1"/>
  <c r="J43" i="1"/>
  <c r="P43" i="1" s="1"/>
  <c r="N40" i="1"/>
  <c r="T39" i="1"/>
  <c r="N39" i="1"/>
  <c r="J39" i="1"/>
  <c r="P39" i="1" s="1"/>
  <c r="H43" i="1" l="1"/>
  <c r="U39" i="1"/>
  <c r="U43" i="1"/>
  <c r="F43" i="1" l="1"/>
  <c r="J37" i="1" l="1"/>
  <c r="N38" i="1" l="1"/>
  <c r="T37" i="1"/>
  <c r="N34" i="1"/>
  <c r="T33" i="1"/>
  <c r="U33" i="1" s="1"/>
  <c r="J33" i="1"/>
  <c r="H37" i="1" l="1"/>
  <c r="N33" i="1"/>
  <c r="P33" i="1"/>
  <c r="N31" i="1" l="1"/>
  <c r="T30" i="1"/>
  <c r="U30" i="1" s="1"/>
  <c r="J30" i="1"/>
  <c r="N28" i="1"/>
  <c r="T27" i="1"/>
  <c r="J27" i="1"/>
  <c r="J55" i="1" l="1"/>
  <c r="N55" i="1"/>
  <c r="U27" i="1"/>
  <c r="P55" i="1" l="1"/>
  <c r="D66" i="1" l="1"/>
  <c r="F30" i="1" l="1"/>
  <c r="H30" i="1"/>
  <c r="D67" i="1" l="1"/>
  <c r="B49" i="2" s="1"/>
  <c r="D64" i="1" l="1"/>
  <c r="D63" i="1"/>
  <c r="D68" i="1" l="1"/>
  <c r="B50" i="2" s="1"/>
</calcChain>
</file>

<file path=xl/sharedStrings.xml><?xml version="1.0" encoding="utf-8"?>
<sst xmlns="http://schemas.openxmlformats.org/spreadsheetml/2006/main" count="273" uniqueCount="151">
  <si>
    <t xml:space="preserve">  PACKING LIST</t>
  </si>
  <si>
    <t>Exporter &amp; Manufacturer</t>
  </si>
  <si>
    <t>Invoice No. &amp; Date</t>
  </si>
  <si>
    <t>Exporter's Ref.</t>
  </si>
  <si>
    <t>ACME EXPORTS</t>
  </si>
  <si>
    <t>GST NO.09AAAAA0000A1Z5</t>
  </si>
  <si>
    <t>INDUSTRIAL AREA</t>
  </si>
  <si>
    <t xml:space="preserve">Buyer's Order No. </t>
  </si>
  <si>
    <t>PHASE 1</t>
  </si>
  <si>
    <t>MORADABAD PIN CODE- 244001,UTTAR PRADESH</t>
  </si>
  <si>
    <t>Other Reference (s)</t>
  </si>
  <si>
    <t>INDIA</t>
  </si>
  <si>
    <t>IEC NO.: 0100000001</t>
  </si>
  <si>
    <t>E-Mail-export@example.com</t>
  </si>
  <si>
    <t>Phone No.-+91 000 00 00 000</t>
  </si>
  <si>
    <t>Consignee</t>
  </si>
  <si>
    <t>Notify Party</t>
  </si>
  <si>
    <t>GLOBAL BUYER S.L.U</t>
  </si>
  <si>
    <t>TAX CODE B00000000</t>
  </si>
  <si>
    <t>AVENIDA SAMPLE 100</t>
  </si>
  <si>
    <t>46000 VALENCIA (ESPAÑA).</t>
  </si>
  <si>
    <t>46000 VALENCIA (ESPAÑA)., TELF. 0034 000 000 000</t>
  </si>
  <si>
    <t>TELF. 0034 000 000 000</t>
  </si>
  <si>
    <t>Country of Origin of Goods</t>
  </si>
  <si>
    <t>Country of Final Destination</t>
  </si>
  <si>
    <t>SPAIN</t>
  </si>
  <si>
    <t>Pre- Carriage by</t>
  </si>
  <si>
    <t>Place of Receipt by Pre- Carrier</t>
  </si>
  <si>
    <t>Terms of Delivery &amp; Payment</t>
  </si>
  <si>
    <t xml:space="preserve">ROAD </t>
  </si>
  <si>
    <t>MUNDRA</t>
  </si>
  <si>
    <t>Payment Term -  FOB/TT</t>
  </si>
  <si>
    <t xml:space="preserve">Vessel / Flight No. </t>
  </si>
  <si>
    <t>Port of Loading</t>
  </si>
  <si>
    <t xml:space="preserve"> </t>
  </si>
  <si>
    <t xml:space="preserve">Port of Discharge </t>
  </si>
  <si>
    <t>Final Destination</t>
  </si>
  <si>
    <t>Valencia</t>
  </si>
  <si>
    <t xml:space="preserve">Sup. Ref. # &amp; Item. Ref. # </t>
  </si>
  <si>
    <t>IDP Number</t>
  </si>
  <si>
    <t>IDC Number</t>
  </si>
  <si>
    <t xml:space="preserve">DESCRIPTION </t>
  </si>
  <si>
    <t>MASTER CASE NO.</t>
  </si>
  <si>
    <t>TOTAL MASTER CASES</t>
  </si>
  <si>
    <t>TOTAL</t>
  </si>
  <si>
    <t>NET WT.</t>
  </si>
  <si>
    <t xml:space="preserve">MASTER </t>
  </si>
  <si>
    <t>Total</t>
  </si>
  <si>
    <t>MASTER CARTON SIZE</t>
  </si>
  <si>
    <t xml:space="preserve">Total </t>
  </si>
  <si>
    <t>Set /Pc</t>
  </si>
  <si>
    <t>PER PIECE</t>
  </si>
  <si>
    <t>GROSS WT</t>
  </si>
  <si>
    <t>Gr. Wt.</t>
  </si>
  <si>
    <t>L</t>
  </si>
  <si>
    <t>B</t>
  </si>
  <si>
    <t>H</t>
  </si>
  <si>
    <t>CBM</t>
  </si>
  <si>
    <t>Side table large</t>
  </si>
  <si>
    <t>to</t>
  </si>
  <si>
    <t>=</t>
  </si>
  <si>
    <t>CTNS</t>
  </si>
  <si>
    <t>set in carton</t>
  </si>
  <si>
    <t>Mango Wood</t>
  </si>
  <si>
    <t>Side Table Small</t>
  </si>
  <si>
    <t>Iron</t>
  </si>
  <si>
    <t>Total Net Weight  Iron</t>
  </si>
  <si>
    <t>Kgs</t>
  </si>
  <si>
    <t>Total Net Weight Glass</t>
  </si>
  <si>
    <t>Total Net Weight Mango Wood</t>
  </si>
  <si>
    <t xml:space="preserve">Total Net Weight </t>
  </si>
  <si>
    <t>Total Gross Weight</t>
  </si>
  <si>
    <t xml:space="preserve">Total Pieces </t>
  </si>
  <si>
    <t>Pcs</t>
  </si>
  <si>
    <t>Total cases</t>
  </si>
  <si>
    <t>Ctn</t>
  </si>
  <si>
    <t>Total Volume</t>
  </si>
  <si>
    <t>For ACME EXPORTS</t>
  </si>
  <si>
    <t>Declaration  :</t>
  </si>
  <si>
    <t xml:space="preserve">We declare that this Invoice shows the actual price of the goods described </t>
  </si>
  <si>
    <t>and that all particulars are true and correct.</t>
  </si>
  <si>
    <t>Prop./ Manager</t>
  </si>
  <si>
    <t>Coffee table Large</t>
  </si>
  <si>
    <t>Glass</t>
  </si>
  <si>
    <t>1734 B</t>
  </si>
  <si>
    <t>Coffee table Small</t>
  </si>
  <si>
    <t>2384 A</t>
  </si>
  <si>
    <t>Total Net Weight S.STEEL</t>
  </si>
  <si>
    <t>COMMERCIAL INVOICE</t>
  </si>
  <si>
    <t>CONSIGNEE</t>
  </si>
  <si>
    <t>MORADABAD</t>
  </si>
  <si>
    <t>Payment Term-  FOB/TT</t>
  </si>
  <si>
    <t>Mundra</t>
  </si>
  <si>
    <t>Sup. Ref.No.</t>
  </si>
  <si>
    <t>IDP</t>
  </si>
  <si>
    <t>IDC</t>
  </si>
  <si>
    <t xml:space="preserve">Description </t>
  </si>
  <si>
    <t>HSN Code</t>
  </si>
  <si>
    <t>TOTAL  QUANTITY</t>
  </si>
  <si>
    <t>PC/SET</t>
  </si>
  <si>
    <t>UNIT PRICE</t>
  </si>
  <si>
    <t>AMOUNT</t>
  </si>
  <si>
    <t>Pc</t>
  </si>
  <si>
    <t>TOTAL INVOICE VALUE</t>
  </si>
  <si>
    <t>DECLARATION</t>
  </si>
  <si>
    <t xml:space="preserve">The Exporter ACME EXPORTS (Number of Registered Exporter of the products covered by this document declares </t>
  </si>
  <si>
    <r>
      <t xml:space="preserve">that, except where otherwise clearly indicated, these products are of </t>
    </r>
    <r>
      <rPr>
        <b/>
        <sz val="12"/>
        <color theme="1"/>
        <rFont val="Arial"/>
        <family val="2"/>
      </rPr>
      <t>INDIA</t>
    </r>
    <r>
      <rPr>
        <sz val="12"/>
        <color theme="1"/>
        <rFont val="Arial"/>
        <family val="2"/>
      </rPr>
      <t xml:space="preserve"> preferential  origin according to rules of </t>
    </r>
  </si>
  <si>
    <t xml:space="preserve">origin of the Generalized System of Preferences of the European Union and that the origin of the Generalized System </t>
  </si>
  <si>
    <r>
      <t>of Preferences of the European Union and that the origin criterion met is "</t>
    </r>
    <r>
      <rPr>
        <b/>
        <sz val="12"/>
        <color theme="1"/>
        <rFont val="Arial"/>
        <family val="2"/>
      </rPr>
      <t>P</t>
    </r>
    <r>
      <rPr>
        <sz val="12"/>
        <color theme="1"/>
        <rFont val="Arial"/>
        <family val="2"/>
      </rPr>
      <t>"</t>
    </r>
  </si>
  <si>
    <t>REX REGISTRATION NO - INREX0000000000EC000</t>
  </si>
  <si>
    <t>Bank Details:</t>
  </si>
  <si>
    <t>Name:</t>
  </si>
  <si>
    <t>SAMPLE BANK LTD</t>
  </si>
  <si>
    <t>Address:</t>
  </si>
  <si>
    <t>SAMPLE ROAD, MORADABAD-244001, UP, INDIA</t>
  </si>
  <si>
    <t>Account No.</t>
  </si>
  <si>
    <t>000000000000000</t>
  </si>
  <si>
    <t>Account name:</t>
  </si>
  <si>
    <t>Swift Code:</t>
  </si>
  <si>
    <t>BANKINBBXXX</t>
  </si>
  <si>
    <t>TOTAL CARTON</t>
  </si>
  <si>
    <t>TOTAL CBM</t>
  </si>
  <si>
    <t>We declare that this invoice shows the actual price of the goods &amp;</t>
  </si>
  <si>
    <t>all particulars are true and correct.</t>
  </si>
  <si>
    <t>196310</t>
  </si>
  <si>
    <t>2317 A</t>
  </si>
  <si>
    <t>612930 TOP</t>
  </si>
  <si>
    <t>509396 (Leg)</t>
  </si>
  <si>
    <t>S.STEEL</t>
  </si>
  <si>
    <t>1730 A</t>
  </si>
  <si>
    <t>Marble</t>
  </si>
  <si>
    <t>Total Net Weight Marble</t>
  </si>
  <si>
    <t>S.Steel</t>
  </si>
  <si>
    <t>612930 (Top)</t>
  </si>
  <si>
    <t>Bar stool large - Seat height = 75 cm</t>
  </si>
  <si>
    <t>Bar stool small - Seat height = 65 cm</t>
  </si>
  <si>
    <t>JUTE</t>
  </si>
  <si>
    <t xml:space="preserve">C Table Top Part </t>
  </si>
  <si>
    <t>28210-T</t>
  </si>
  <si>
    <t>CONTAINER NUMBER - ABCD1234567/40 HC</t>
  </si>
  <si>
    <t>20335-D</t>
  </si>
  <si>
    <t>Coffee Table</t>
  </si>
  <si>
    <t xml:space="preserve">TOTAL INVOICE VALUE  IN USD:-SIXTEEN THOUSAND EIGHT HUNDRED TWENTY NINE AND FIFTY CENTS ONLY. </t>
  </si>
  <si>
    <t>1 TO 461</t>
  </si>
  <si>
    <t>COFFEE TABLE</t>
  </si>
  <si>
    <t>Pcs in carton</t>
  </si>
  <si>
    <t>Total Net Weight jute</t>
  </si>
  <si>
    <t>CARTONS CONTAIN HANDICRAFTS OF  IRON,MANGO WOOD, JUTE,S.STEEL,MARBLE  &amp; GLASS  ARTWARES ITEMS</t>
  </si>
  <si>
    <t>1 to 461</t>
  </si>
  <si>
    <t>2026-27/173 DATE-05/10/2026</t>
  </si>
  <si>
    <t>ORDER REF. No.S1138-12771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</si>
</sst>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0.000"/>
    <numFmt numFmtId="165" formatCode="_([$$-409]* #,##0.00_);_([$$-409]* \(#,##0.00\);_([$$-409]* &quot;-&quot;??_);_(@_)"/>
    <numFmt numFmtId="166" formatCode="_-[$$-409]* #,##0.00_ ;_-[$$-409]* \-#,##0.00\ ;_-[$$-409]* &quot;-&quot;??_ ;_-@_ "/>
    <numFmt numFmtId="167" formatCode="_ [$₹-4009]\ * #,##0.00_ ;_ [$₹-4009]\ * \-#,##0.00_ ;_ [$₹-4009]\ * &quot;-&quot;??_ ;_ @_ 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ureliusSerif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Arial"/>
      <family val="2"/>
    </font>
    <font>
      <sz val="12"/>
      <color theme="1"/>
      <name val="Calibri"/>
      <family val="2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2"/>
      <name val="Calibri Light"/>
      <family val="2"/>
      <scheme val="maj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2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indexed="8"/>
      <name val="Calibri"/>
      <family val="2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name val="Calibri Light"/>
      <family val="2"/>
      <scheme val="major"/>
    </font>
    <font>
      <b/>
      <i/>
      <sz val="10"/>
      <name val="Arial"/>
      <family val="2"/>
    </font>
    <font>
      <b/>
      <i/>
      <sz val="11"/>
      <name val="Calibri"/>
      <family val="2"/>
      <scheme val="minor"/>
    </font>
    <font>
      <b/>
      <sz val="16"/>
      <name val="Arial"/>
      <family val="2"/>
    </font>
    <font>
      <b/>
      <sz val="14"/>
      <name val="Calibri"/>
      <family val="2"/>
      <scheme val="minor"/>
    </font>
    <font>
      <sz val="12"/>
      <color rgb="FF00000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2"/>
      <color indexed="8"/>
      <name val="Arial"/>
      <family val="2"/>
    </font>
    <font>
      <b/>
      <sz val="10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4"/>
      <color rgb="FF000000"/>
      <name val="Calibri Light"/>
      <family val="2"/>
      <scheme val="major"/>
    </font>
    <font>
      <sz val="14"/>
      <color theme="1"/>
      <name val="Calibri Light"/>
      <family val="2"/>
      <scheme val="major"/>
    </font>
    <font>
      <b/>
      <sz val="14"/>
      <name val="Calibri Light"/>
      <family val="1"/>
      <scheme val="major"/>
    </font>
    <font>
      <u/>
      <sz val="10"/>
      <color theme="1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0"/>
      <name val="Arial"/>
      <family val="2"/>
    </font>
    <font>
      <sz val="14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5" fillId="0" borderId="0"/>
    <xf numFmtId="0" fontId="1" fillId="0" borderId="0"/>
    <xf numFmtId="0" fontId="25" fillId="0" borderId="0"/>
    <xf numFmtId="44" fontId="1" fillId="0" borderId="0" applyFont="0" applyFill="0" applyBorder="0" applyAlignment="0" applyProtection="0"/>
    <xf numFmtId="0" fontId="5" fillId="0" borderId="0"/>
  </cellStyleXfs>
  <cellXfs count="497">
    <xf numFmtId="0" fontId="0" fillId="0" borderId="0" xfId="0"/>
    <xf numFmtId="0" fontId="4" fillId="0" borderId="1" xfId="0" applyFont="1" applyBorder="1"/>
    <xf numFmtId="0" fontId="4" fillId="0" borderId="2" xfId="0" applyFont="1" applyBorder="1"/>
    <xf numFmtId="0" fontId="4" fillId="0" borderId="5" xfId="0" applyFont="1" applyBorder="1"/>
    <xf numFmtId="0" fontId="4" fillId="0" borderId="6" xfId="2" applyFont="1" applyBorder="1" applyAlignment="1">
      <alignment horizontal="left"/>
    </xf>
    <xf numFmtId="164" fontId="4" fillId="0" borderId="7" xfId="2" applyNumberFormat="1" applyFont="1" applyBorder="1" applyAlignment="1">
      <alignment horizontal="left"/>
    </xf>
    <xf numFmtId="2" fontId="4" fillId="0" borderId="7" xfId="2" applyNumberFormat="1" applyFont="1" applyBorder="1"/>
    <xf numFmtId="0" fontId="3" fillId="0" borderId="11" xfId="0" applyFont="1" applyBorder="1"/>
    <xf numFmtId="0" fontId="3" fillId="0" borderId="0" xfId="0" applyFont="1"/>
    <xf numFmtId="0" fontId="3" fillId="0" borderId="12" xfId="0" applyFont="1" applyBorder="1"/>
    <xf numFmtId="49" fontId="3" fillId="0" borderId="13" xfId="0" applyNumberFormat="1" applyFont="1" applyBorder="1"/>
    <xf numFmtId="164" fontId="5" fillId="0" borderId="14" xfId="2" applyNumberFormat="1" applyBorder="1" applyAlignment="1">
      <alignment horizontal="left"/>
    </xf>
    <xf numFmtId="164" fontId="6" fillId="0" borderId="15" xfId="2" applyNumberFormat="1" applyFont="1" applyBorder="1"/>
    <xf numFmtId="164" fontId="6" fillId="0" borderId="16" xfId="2" applyNumberFormat="1" applyFont="1" applyBorder="1"/>
    <xf numFmtId="164" fontId="6" fillId="0" borderId="17" xfId="2" applyNumberFormat="1" applyFont="1" applyBorder="1"/>
    <xf numFmtId="49" fontId="7" fillId="0" borderId="18" xfId="2" applyNumberFormat="1" applyFont="1" applyBorder="1"/>
    <xf numFmtId="49" fontId="7" fillId="0" borderId="9" xfId="2" applyNumberFormat="1" applyFont="1" applyBorder="1"/>
    <xf numFmtId="49" fontId="7" fillId="0" borderId="10" xfId="2" applyNumberFormat="1" applyFont="1" applyBorder="1"/>
    <xf numFmtId="0" fontId="8" fillId="0" borderId="11" xfId="0" applyFont="1" applyBorder="1"/>
    <xf numFmtId="0" fontId="8" fillId="0" borderId="0" xfId="0" applyFont="1"/>
    <xf numFmtId="0" fontId="8" fillId="0" borderId="12" xfId="0" applyFont="1" applyBorder="1"/>
    <xf numFmtId="49" fontId="9" fillId="0" borderId="19" xfId="0" applyNumberFormat="1" applyFont="1" applyBorder="1" applyAlignment="1">
      <alignment vertical="center"/>
    </xf>
    <xf numFmtId="49" fontId="9" fillId="0" borderId="16" xfId="0" applyNumberFormat="1" applyFont="1" applyBorder="1" applyAlignment="1">
      <alignment vertical="center"/>
    </xf>
    <xf numFmtId="49" fontId="9" fillId="0" borderId="17" xfId="0" applyNumberFormat="1" applyFont="1" applyBorder="1" applyAlignment="1">
      <alignment vertical="center"/>
    </xf>
    <xf numFmtId="0" fontId="4" fillId="0" borderId="1" xfId="2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164" fontId="4" fillId="0" borderId="2" xfId="0" applyNumberFormat="1" applyFont="1" applyBorder="1"/>
    <xf numFmtId="164" fontId="4" fillId="0" borderId="5" xfId="0" applyNumberFormat="1" applyFont="1" applyBorder="1"/>
    <xf numFmtId="0" fontId="3" fillId="0" borderId="11" xfId="2" applyFont="1" applyBorder="1" applyAlignment="1">
      <alignment horizontal="left"/>
    </xf>
    <xf numFmtId="164" fontId="10" fillId="0" borderId="0" xfId="0" applyNumberFormat="1" applyFont="1" applyAlignment="1">
      <alignment horizontal="left"/>
    </xf>
    <xf numFmtId="164" fontId="10" fillId="0" borderId="0" xfId="0" applyNumberFormat="1" applyFont="1"/>
    <xf numFmtId="164" fontId="10" fillId="0" borderId="12" xfId="0" applyNumberFormat="1" applyFont="1" applyBorder="1"/>
    <xf numFmtId="0" fontId="2" fillId="0" borderId="11" xfId="1" applyBorder="1" applyAlignment="1" applyProtection="1"/>
    <xf numFmtId="0" fontId="2" fillId="0" borderId="0" xfId="1" applyBorder="1" applyAlignment="1" applyProtection="1"/>
    <xf numFmtId="0" fontId="3" fillId="0" borderId="20" xfId="0" applyFont="1" applyBorder="1"/>
    <xf numFmtId="0" fontId="3" fillId="0" borderId="21" xfId="0" applyFont="1" applyBorder="1"/>
    <xf numFmtId="0" fontId="3" fillId="0" borderId="20" xfId="2" applyFont="1" applyBorder="1" applyAlignment="1">
      <alignment horizontal="left"/>
    </xf>
    <xf numFmtId="164" fontId="10" fillId="0" borderId="21" xfId="0" applyNumberFormat="1" applyFont="1" applyBorder="1" applyAlignment="1">
      <alignment horizontal="left"/>
    </xf>
    <xf numFmtId="164" fontId="10" fillId="0" borderId="21" xfId="0" applyNumberFormat="1" applyFont="1" applyBorder="1"/>
    <xf numFmtId="164" fontId="10" fillId="0" borderId="22" xfId="0" applyNumberFormat="1" applyFont="1" applyBorder="1"/>
    <xf numFmtId="0" fontId="3" fillId="0" borderId="23" xfId="2" applyFont="1" applyBorder="1" applyAlignment="1">
      <alignment horizontal="left" vertical="center"/>
    </xf>
    <xf numFmtId="0" fontId="3" fillId="0" borderId="3" xfId="2" applyFont="1" applyBorder="1" applyAlignment="1">
      <alignment horizontal="left" vertical="center"/>
    </xf>
    <xf numFmtId="0" fontId="3" fillId="0" borderId="3" xfId="2" applyFont="1" applyBorder="1" applyAlignment="1">
      <alignment vertical="center"/>
    </xf>
    <xf numFmtId="0" fontId="3" fillId="0" borderId="4" xfId="2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11" fillId="0" borderId="0" xfId="0" applyFont="1"/>
    <xf numFmtId="164" fontId="12" fillId="0" borderId="0" xfId="0" applyNumberFormat="1" applyFont="1"/>
    <xf numFmtId="164" fontId="6" fillId="0" borderId="0" xfId="0" applyNumberFormat="1" applyFont="1"/>
    <xf numFmtId="49" fontId="12" fillId="0" borderId="0" xfId="2" applyNumberFormat="1" applyFont="1" applyAlignment="1">
      <alignment vertical="top" wrapText="1"/>
    </xf>
    <xf numFmtId="0" fontId="11" fillId="0" borderId="2" xfId="0" applyFont="1" applyBorder="1"/>
    <xf numFmtId="164" fontId="12" fillId="0" borderId="2" xfId="0" applyNumberFormat="1" applyFont="1" applyBorder="1"/>
    <xf numFmtId="164" fontId="6" fillId="0" borderId="2" xfId="0" applyNumberFormat="1" applyFont="1" applyBorder="1"/>
    <xf numFmtId="164" fontId="6" fillId="0" borderId="5" xfId="0" applyNumberFormat="1" applyFont="1" applyBorder="1"/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center"/>
    </xf>
    <xf numFmtId="0" fontId="14" fillId="0" borderId="12" xfId="0" applyFont="1" applyBorder="1" applyAlignment="1">
      <alignment vertical="center"/>
    </xf>
    <xf numFmtId="49" fontId="13" fillId="0" borderId="0" xfId="0" applyNumberFormat="1" applyFont="1" applyAlignment="1">
      <alignment vertical="center" wrapText="1"/>
    </xf>
    <xf numFmtId="164" fontId="12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0" fontId="10" fillId="0" borderId="0" xfId="0" applyFont="1"/>
    <xf numFmtId="164" fontId="3" fillId="0" borderId="12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top" wrapText="1"/>
    </xf>
    <xf numFmtId="49" fontId="12" fillId="0" borderId="0" xfId="2" applyNumberFormat="1" applyFont="1" applyAlignment="1">
      <alignment horizontal="left" vertical="top" wrapText="1"/>
    </xf>
    <xf numFmtId="164" fontId="12" fillId="0" borderId="21" xfId="0" applyNumberFormat="1" applyFont="1" applyBorder="1" applyAlignment="1">
      <alignment horizontal="left" vertical="center"/>
    </xf>
    <xf numFmtId="164" fontId="6" fillId="0" borderId="21" xfId="0" applyNumberFormat="1" applyFont="1" applyBorder="1" applyAlignment="1">
      <alignment horizontal="left" vertical="center"/>
    </xf>
    <xf numFmtId="164" fontId="3" fillId="0" borderId="22" xfId="0" applyNumberFormat="1" applyFont="1" applyBorder="1" applyAlignment="1">
      <alignment vertical="center"/>
    </xf>
    <xf numFmtId="49" fontId="15" fillId="0" borderId="11" xfId="2" applyNumberFormat="1" applyFont="1" applyBorder="1" applyAlignment="1">
      <alignment vertical="center"/>
    </xf>
    <xf numFmtId="49" fontId="15" fillId="0" borderId="0" xfId="2" applyNumberFormat="1" applyFont="1" applyAlignment="1">
      <alignment vertical="center"/>
    </xf>
    <xf numFmtId="49" fontId="15" fillId="0" borderId="0" xfId="0" applyNumberFormat="1" applyFont="1" applyAlignment="1">
      <alignment horizontal="left"/>
    </xf>
    <xf numFmtId="49" fontId="16" fillId="0" borderId="0" xfId="2" applyNumberFormat="1" applyFont="1" applyAlignment="1">
      <alignment vertical="top" wrapText="1"/>
    </xf>
    <xf numFmtId="49" fontId="16" fillId="0" borderId="0" xfId="2" applyNumberFormat="1" applyFont="1" applyAlignment="1">
      <alignment vertical="center" wrapText="1"/>
    </xf>
    <xf numFmtId="49" fontId="16" fillId="0" borderId="12" xfId="2" applyNumberFormat="1" applyFont="1" applyBorder="1" applyAlignment="1">
      <alignment vertical="center" wrapText="1"/>
    </xf>
    <xf numFmtId="0" fontId="4" fillId="0" borderId="0" xfId="0" applyFont="1"/>
    <xf numFmtId="164" fontId="4" fillId="0" borderId="0" xfId="0" applyNumberFormat="1" applyFont="1" applyAlignment="1">
      <alignment horizontal="left"/>
    </xf>
    <xf numFmtId="164" fontId="4" fillId="0" borderId="11" xfId="0" applyNumberFormat="1" applyFont="1" applyBorder="1"/>
    <xf numFmtId="164" fontId="4" fillId="0" borderId="0" xfId="0" applyNumberFormat="1" applyFont="1"/>
    <xf numFmtId="164" fontId="4" fillId="0" borderId="12" xfId="0" applyNumberFormat="1" applyFont="1" applyBorder="1" applyAlignment="1">
      <alignment horizontal="center"/>
    </xf>
    <xf numFmtId="49" fontId="16" fillId="0" borderId="20" xfId="2" applyNumberFormat="1" applyFont="1" applyBorder="1" applyAlignment="1">
      <alignment horizontal="center" vertical="top" wrapText="1"/>
    </xf>
    <xf numFmtId="49" fontId="16" fillId="0" borderId="21" xfId="2" applyNumberFormat="1" applyFont="1" applyBorder="1" applyAlignment="1">
      <alignment horizontal="center" vertical="top" wrapText="1"/>
    </xf>
    <xf numFmtId="49" fontId="16" fillId="0" borderId="21" xfId="2" applyNumberFormat="1" applyFont="1" applyBorder="1" applyAlignment="1">
      <alignment vertical="top" wrapText="1"/>
    </xf>
    <xf numFmtId="49" fontId="16" fillId="0" borderId="22" xfId="2" applyNumberFormat="1" applyFont="1" applyBorder="1" applyAlignment="1">
      <alignment vertical="top" wrapText="1"/>
    </xf>
    <xf numFmtId="49" fontId="12" fillId="0" borderId="20" xfId="2" applyNumberFormat="1" applyFont="1" applyBorder="1" applyAlignment="1">
      <alignment vertical="center"/>
    </xf>
    <xf numFmtId="164" fontId="3" fillId="0" borderId="21" xfId="0" applyNumberFormat="1" applyFont="1" applyBorder="1"/>
    <xf numFmtId="164" fontId="3" fillId="0" borderId="22" xfId="0" applyNumberFormat="1" applyFont="1" applyBorder="1"/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12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7" fillId="0" borderId="1" xfId="0" applyFont="1" applyBorder="1"/>
    <xf numFmtId="164" fontId="17" fillId="0" borderId="2" xfId="0" applyNumberFormat="1" applyFont="1" applyBorder="1" applyAlignment="1">
      <alignment horizontal="left"/>
    </xf>
    <xf numFmtId="164" fontId="17" fillId="0" borderId="0" xfId="0" applyNumberFormat="1" applyFont="1"/>
    <xf numFmtId="164" fontId="17" fillId="0" borderId="12" xfId="0" applyNumberFormat="1" applyFont="1" applyBorder="1"/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10" fillId="0" borderId="22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12" fillId="0" borderId="11" xfId="2" applyNumberFormat="1" applyFont="1" applyBorder="1" applyAlignment="1">
      <alignment vertical="center"/>
    </xf>
    <xf numFmtId="49" fontId="12" fillId="0" borderId="0" xfId="2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23" xfId="2" applyFont="1" applyBorder="1" applyAlignment="1">
      <alignment horizontal="center" vertical="center"/>
    </xf>
    <xf numFmtId="2" fontId="19" fillId="0" borderId="4" xfId="0" applyNumberFormat="1" applyFont="1" applyBorder="1" applyAlignment="1">
      <alignment horizontal="center" vertical="center"/>
    </xf>
    <xf numFmtId="164" fontId="17" fillId="0" borderId="25" xfId="0" applyNumberFormat="1" applyFont="1" applyBorder="1" applyAlignment="1">
      <alignment horizontal="center" vertical="center"/>
    </xf>
    <xf numFmtId="164" fontId="17" fillId="0" borderId="23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" fontId="6" fillId="0" borderId="3" xfId="0" applyNumberFormat="1" applyFont="1" applyBorder="1" applyAlignment="1">
      <alignment vertical="center" wrapText="1"/>
    </xf>
    <xf numFmtId="1" fontId="6" fillId="0" borderId="4" xfId="0" applyNumberFormat="1" applyFont="1" applyBorder="1" applyAlignment="1">
      <alignment vertical="center" wrapText="1"/>
    </xf>
    <xf numFmtId="164" fontId="6" fillId="0" borderId="24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2" fontId="17" fillId="0" borderId="24" xfId="0" applyNumberFormat="1" applyFont="1" applyBorder="1" applyAlignment="1">
      <alignment horizontal="center" vertical="center"/>
    </xf>
    <xf numFmtId="164" fontId="17" fillId="0" borderId="24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 wrapText="1"/>
    </xf>
    <xf numFmtId="1" fontId="6" fillId="0" borderId="2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12" xfId="0" applyFont="1" applyBorder="1" applyAlignment="1">
      <alignment horizontal="left"/>
    </xf>
    <xf numFmtId="0" fontId="10" fillId="0" borderId="24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10" fillId="0" borderId="24" xfId="0" applyNumberFormat="1" applyFont="1" applyBorder="1" applyAlignment="1">
      <alignment horizontal="center"/>
    </xf>
    <xf numFmtId="164" fontId="10" fillId="0" borderId="24" xfId="0" applyNumberFormat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10" fillId="0" borderId="27" xfId="0" applyFont="1" applyBorder="1" applyAlignment="1">
      <alignment horizontal="center"/>
    </xf>
    <xf numFmtId="164" fontId="10" fillId="0" borderId="27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11" xfId="0" applyNumberFormat="1" applyFont="1" applyBorder="1" applyAlignment="1">
      <alignment horizontal="center"/>
    </xf>
    <xf numFmtId="1" fontId="10" fillId="0" borderId="27" xfId="0" applyNumberFormat="1" applyFont="1" applyBorder="1" applyAlignment="1">
      <alignment horizontal="center"/>
    </xf>
    <xf numFmtId="0" fontId="22" fillId="0" borderId="27" xfId="0" applyFont="1" applyBorder="1" applyAlignment="1">
      <alignment horizontal="center" vertical="center"/>
    </xf>
    <xf numFmtId="164" fontId="10" fillId="0" borderId="27" xfId="0" applyNumberFormat="1" applyFont="1" applyBorder="1" applyAlignment="1">
      <alignment horizontal="center" vertical="center"/>
    </xf>
    <xf numFmtId="0" fontId="9" fillId="0" borderId="0" xfId="0" applyFont="1"/>
    <xf numFmtId="0" fontId="10" fillId="0" borderId="0" xfId="2" applyFont="1" applyAlignment="1">
      <alignment vertical="center" wrapText="1"/>
    </xf>
    <xf numFmtId="164" fontId="10" fillId="0" borderId="12" xfId="0" applyNumberFormat="1" applyFont="1" applyBorder="1" applyAlignment="1">
      <alignment horizontal="center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10" fillId="0" borderId="21" xfId="2" applyFont="1" applyBorder="1" applyAlignment="1">
      <alignment vertical="center" wrapText="1"/>
    </xf>
    <xf numFmtId="0" fontId="10" fillId="0" borderId="21" xfId="0" applyFont="1" applyBorder="1" applyAlignment="1">
      <alignment horizontal="center"/>
    </xf>
    <xf numFmtId="0" fontId="10" fillId="0" borderId="21" xfId="0" applyFont="1" applyBorder="1"/>
    <xf numFmtId="0" fontId="10" fillId="0" borderId="22" xfId="0" applyFont="1" applyBorder="1" applyAlignment="1">
      <alignment horizontal="left"/>
    </xf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64" fontId="10" fillId="0" borderId="26" xfId="0" applyNumberFormat="1" applyFont="1" applyBorder="1" applyAlignment="1">
      <alignment horizontal="center"/>
    </xf>
    <xf numFmtId="0" fontId="21" fillId="0" borderId="2" xfId="3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0" borderId="2" xfId="0" applyFont="1" applyBorder="1"/>
    <xf numFmtId="0" fontId="10" fillId="0" borderId="5" xfId="0" applyFont="1" applyBorder="1" applyAlignment="1">
      <alignment horizontal="left"/>
    </xf>
    <xf numFmtId="0" fontId="26" fillId="0" borderId="23" xfId="4" applyFont="1" applyBorder="1" applyAlignment="1">
      <alignment horizontal="center" vertical="center"/>
    </xf>
    <xf numFmtId="0" fontId="26" fillId="0" borderId="3" xfId="4" applyFont="1" applyBorder="1" applyAlignment="1">
      <alignment horizontal="center" vertical="center"/>
    </xf>
    <xf numFmtId="0" fontId="27" fillId="0" borderId="3" xfId="4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4" fontId="28" fillId="0" borderId="3" xfId="0" applyNumberFormat="1" applyFont="1" applyBorder="1" applyAlignment="1">
      <alignment horizontal="center" vertical="center"/>
    </xf>
    <xf numFmtId="164" fontId="28" fillId="0" borderId="25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164" fontId="29" fillId="0" borderId="25" xfId="0" applyNumberFormat="1" applyFont="1" applyBorder="1" applyAlignment="1">
      <alignment horizontal="center"/>
    </xf>
    <xf numFmtId="164" fontId="27" fillId="0" borderId="0" xfId="4" applyNumberFormat="1" applyFont="1" applyAlignment="1">
      <alignment horizontal="center" vertical="center"/>
    </xf>
    <xf numFmtId="0" fontId="28" fillId="0" borderId="0" xfId="0" applyFont="1"/>
    <xf numFmtId="0" fontId="5" fillId="0" borderId="1" xfId="0" applyFont="1" applyBorder="1"/>
    <xf numFmtId="0" fontId="5" fillId="0" borderId="2" xfId="0" applyFont="1" applyBorder="1"/>
    <xf numFmtId="164" fontId="10" fillId="0" borderId="2" xfId="0" applyNumberFormat="1" applyFont="1" applyBorder="1" applyAlignment="1">
      <alignment horizontal="right"/>
    </xf>
    <xf numFmtId="164" fontId="10" fillId="0" borderId="2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2" xfId="0" applyFont="1" applyBorder="1"/>
    <xf numFmtId="0" fontId="5" fillId="0" borderId="11" xfId="0" applyFont="1" applyBorder="1"/>
    <xf numFmtId="0" fontId="5" fillId="0" borderId="0" xfId="0" applyFont="1"/>
    <xf numFmtId="164" fontId="10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49" fontId="30" fillId="0" borderId="0" xfId="0" applyNumberFormat="1" applyFont="1" applyAlignment="1">
      <alignment horizontal="center" vertical="center" wrapText="1"/>
    </xf>
    <xf numFmtId="0" fontId="31" fillId="0" borderId="0" xfId="0" applyFont="1"/>
    <xf numFmtId="0" fontId="22" fillId="0" borderId="0" xfId="4" applyFont="1"/>
    <xf numFmtId="0" fontId="31" fillId="0" borderId="11" xfId="0" applyFont="1" applyBorder="1" applyAlignment="1">
      <alignment horizontal="left"/>
    </xf>
    <xf numFmtId="0" fontId="31" fillId="0" borderId="0" xfId="0" applyFont="1" applyAlignment="1">
      <alignment horizontal="left"/>
    </xf>
    <xf numFmtId="164" fontId="32" fillId="0" borderId="0" xfId="0" applyNumberFormat="1" applyFont="1"/>
    <xf numFmtId="164" fontId="32" fillId="0" borderId="0" xfId="0" applyNumberFormat="1" applyFont="1" applyAlignment="1">
      <alignment horizontal="left"/>
    </xf>
    <xf numFmtId="1" fontId="10" fillId="0" borderId="0" xfId="0" applyNumberFormat="1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left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2" applyFont="1" applyAlignment="1">
      <alignment horizontal="center" vertical="center"/>
    </xf>
    <xf numFmtId="2" fontId="3" fillId="0" borderId="0" xfId="2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/>
    </xf>
    <xf numFmtId="164" fontId="10" fillId="0" borderId="5" xfId="0" applyNumberFormat="1" applyFont="1" applyBorder="1" applyAlignment="1">
      <alignment horizontal="center"/>
    </xf>
    <xf numFmtId="164" fontId="3" fillId="0" borderId="11" xfId="0" applyNumberFormat="1" applyFont="1" applyBorder="1" applyAlignment="1">
      <alignment horizontal="left"/>
    </xf>
    <xf numFmtId="0" fontId="3" fillId="0" borderId="11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2" applyNumberFormat="1" applyFont="1" applyAlignment="1">
      <alignment horizontal="left"/>
    </xf>
    <xf numFmtId="2" fontId="9" fillId="0" borderId="0" xfId="0" applyNumberFormat="1" applyFont="1" applyAlignment="1">
      <alignment horizontal="left"/>
    </xf>
    <xf numFmtId="164" fontId="10" fillId="0" borderId="11" xfId="0" applyNumberFormat="1" applyFont="1" applyBorder="1"/>
    <xf numFmtId="0" fontId="10" fillId="0" borderId="11" xfId="0" applyFont="1" applyBorder="1"/>
    <xf numFmtId="164" fontId="3" fillId="0" borderId="0" xfId="0" applyNumberFormat="1" applyFont="1" applyAlignment="1">
      <alignment horizontal="left"/>
    </xf>
    <xf numFmtId="164" fontId="3" fillId="0" borderId="11" xfId="0" applyNumberFormat="1" applyFont="1" applyBorder="1"/>
    <xf numFmtId="164" fontId="3" fillId="0" borderId="0" xfId="0" applyNumberFormat="1" applyFont="1"/>
    <xf numFmtId="164" fontId="3" fillId="0" borderId="12" xfId="0" applyNumberFormat="1" applyFont="1" applyBorder="1" applyAlignment="1">
      <alignment horizontal="center"/>
    </xf>
    <xf numFmtId="0" fontId="7" fillId="0" borderId="11" xfId="0" applyFont="1" applyBorder="1"/>
    <xf numFmtId="0" fontId="7" fillId="0" borderId="0" xfId="0" applyFont="1"/>
    <xf numFmtId="0" fontId="7" fillId="0" borderId="20" xfId="0" applyFont="1" applyBorder="1"/>
    <xf numFmtId="0" fontId="7" fillId="0" borderId="21" xfId="0" applyFont="1" applyBorder="1"/>
    <xf numFmtId="0" fontId="3" fillId="0" borderId="22" xfId="0" applyFont="1" applyBorder="1"/>
    <xf numFmtId="0" fontId="21" fillId="0" borderId="11" xfId="0" applyFont="1" applyBorder="1"/>
    <xf numFmtId="0" fontId="21" fillId="0" borderId="0" xfId="0" applyFont="1"/>
    <xf numFmtId="1" fontId="28" fillId="0" borderId="25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center"/>
    </xf>
    <xf numFmtId="164" fontId="10" fillId="0" borderId="21" xfId="0" applyNumberFormat="1" applyFont="1" applyBorder="1" applyAlignment="1">
      <alignment horizontal="center"/>
    </xf>
    <xf numFmtId="0" fontId="22" fillId="0" borderId="21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164" fontId="10" fillId="0" borderId="26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 vertical="center"/>
    </xf>
    <xf numFmtId="0" fontId="10" fillId="0" borderId="2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35" fillId="0" borderId="2" xfId="0" applyFont="1" applyBorder="1" applyAlignment="1">
      <alignment horizontal="center" vertical="center" readingOrder="1"/>
    </xf>
    <xf numFmtId="0" fontId="36" fillId="0" borderId="2" xfId="0" applyFont="1" applyBorder="1" applyAlignment="1">
      <alignment horizontal="center" vertical="center" wrapText="1"/>
    </xf>
    <xf numFmtId="49" fontId="5" fillId="0" borderId="23" xfId="2" applyNumberFormat="1" applyBorder="1" applyAlignment="1">
      <alignment horizontal="left"/>
    </xf>
    <xf numFmtId="49" fontId="5" fillId="0" borderId="3" xfId="2" applyNumberFormat="1" applyBorder="1" applyAlignment="1">
      <alignment horizontal="left"/>
    </xf>
    <xf numFmtId="49" fontId="5" fillId="0" borderId="7" xfId="2" applyNumberFormat="1" applyBorder="1" applyAlignment="1">
      <alignment horizontal="left"/>
    </xf>
    <xf numFmtId="49" fontId="5" fillId="0" borderId="29" xfId="2" applyNumberFormat="1" applyBorder="1" applyAlignment="1">
      <alignment horizontal="center"/>
    </xf>
    <xf numFmtId="49" fontId="3" fillId="0" borderId="11" xfId="2" applyNumberFormat="1" applyFont="1" applyBorder="1"/>
    <xf numFmtId="49" fontId="3" fillId="0" borderId="0" xfId="2" applyNumberFormat="1" applyFont="1"/>
    <xf numFmtId="49" fontId="3" fillId="0" borderId="14" xfId="2" applyNumberFormat="1" applyFont="1" applyBorder="1" applyAlignment="1">
      <alignment horizontal="left"/>
    </xf>
    <xf numFmtId="49" fontId="5" fillId="0" borderId="31" xfId="2" applyNumberFormat="1" applyBorder="1" applyAlignment="1">
      <alignment horizontal="center"/>
    </xf>
    <xf numFmtId="49" fontId="3" fillId="0" borderId="11" xfId="2" applyNumberFormat="1" applyFont="1" applyBorder="1" applyAlignment="1">
      <alignment horizontal="left"/>
    </xf>
    <xf numFmtId="49" fontId="3" fillId="0" borderId="0" xfId="2" applyNumberFormat="1" applyFont="1" applyAlignment="1">
      <alignment horizontal="left"/>
    </xf>
    <xf numFmtId="49" fontId="3" fillId="0" borderId="12" xfId="2" applyNumberFormat="1" applyFont="1" applyBorder="1" applyAlignment="1">
      <alignment horizontal="left"/>
    </xf>
    <xf numFmtId="49" fontId="12" fillId="0" borderId="23" xfId="2" applyNumberFormat="1" applyFont="1" applyBorder="1" applyAlignment="1">
      <alignment vertical="top" wrapText="1"/>
    </xf>
    <xf numFmtId="0" fontId="1" fillId="0" borderId="0" xfId="0" applyFont="1"/>
    <xf numFmtId="0" fontId="39" fillId="0" borderId="2" xfId="6" applyFont="1" applyBorder="1" applyAlignment="1">
      <alignment horizontal="left"/>
    </xf>
    <xf numFmtId="164" fontId="12" fillId="0" borderId="5" xfId="0" applyNumberFormat="1" applyFont="1" applyBorder="1"/>
    <xf numFmtId="1" fontId="39" fillId="0" borderId="0" xfId="0" applyNumberFormat="1" applyFont="1" applyProtection="1">
      <protection locked="0"/>
    </xf>
    <xf numFmtId="164" fontId="12" fillId="0" borderId="12" xfId="0" applyNumberFormat="1" applyFont="1" applyBorder="1" applyAlignment="1">
      <alignment horizontal="left" vertical="center"/>
    </xf>
    <xf numFmtId="49" fontId="16" fillId="0" borderId="20" xfId="2" applyNumberFormat="1" applyFont="1" applyBorder="1" applyAlignment="1">
      <alignment horizontal="left" vertical="center" wrapText="1"/>
    </xf>
    <xf numFmtId="49" fontId="16" fillId="0" borderId="21" xfId="2" applyNumberFormat="1" applyFont="1" applyBorder="1" applyAlignment="1">
      <alignment horizontal="left" vertical="center" wrapText="1"/>
    </xf>
    <xf numFmtId="49" fontId="16" fillId="0" borderId="0" xfId="2" applyNumberFormat="1" applyFont="1" applyAlignment="1">
      <alignment horizontal="left" vertical="center" wrapText="1"/>
    </xf>
    <xf numFmtId="49" fontId="12" fillId="0" borderId="32" xfId="2" applyNumberFormat="1" applyFont="1" applyBorder="1" applyAlignment="1">
      <alignment vertical="center"/>
    </xf>
    <xf numFmtId="49" fontId="12" fillId="0" borderId="18" xfId="2" applyNumberFormat="1" applyFont="1" applyBorder="1" applyAlignment="1">
      <alignment vertical="center"/>
    </xf>
    <xf numFmtId="49" fontId="12" fillId="0" borderId="1" xfId="2" applyNumberFormat="1" applyFont="1" applyBorder="1" applyAlignment="1">
      <alignment horizontal="left" vertical="center"/>
    </xf>
    <xf numFmtId="49" fontId="12" fillId="0" borderId="2" xfId="2" applyNumberFormat="1" applyFont="1" applyBorder="1" applyAlignment="1">
      <alignment horizontal="left" vertical="center"/>
    </xf>
    <xf numFmtId="49" fontId="40" fillId="0" borderId="2" xfId="2" applyNumberFormat="1" applyFont="1" applyBorder="1" applyAlignment="1">
      <alignment horizontal="left" vertical="center"/>
    </xf>
    <xf numFmtId="49" fontId="12" fillId="0" borderId="19" xfId="2" applyNumberFormat="1" applyFont="1" applyBorder="1" applyAlignment="1">
      <alignment vertical="center"/>
    </xf>
    <xf numFmtId="49" fontId="12" fillId="0" borderId="16" xfId="2" applyNumberFormat="1" applyFont="1" applyBorder="1" applyAlignment="1">
      <alignment vertical="center"/>
    </xf>
    <xf numFmtId="49" fontId="12" fillId="0" borderId="11" xfId="2" applyNumberFormat="1" applyFont="1" applyBorder="1" applyAlignment="1">
      <alignment horizontal="left" vertical="center"/>
    </xf>
    <xf numFmtId="49" fontId="12" fillId="0" borderId="0" xfId="2" applyNumberFormat="1" applyFont="1" applyAlignment="1">
      <alignment horizontal="left" vertical="center"/>
    </xf>
    <xf numFmtId="49" fontId="40" fillId="0" borderId="28" xfId="2" applyNumberFormat="1" applyFont="1" applyBorder="1" applyAlignment="1">
      <alignment vertical="center"/>
    </xf>
    <xf numFmtId="49" fontId="40" fillId="0" borderId="9" xfId="2" applyNumberFormat="1" applyFont="1" applyBorder="1" applyAlignment="1">
      <alignment vertical="center"/>
    </xf>
    <xf numFmtId="49" fontId="40" fillId="0" borderId="1" xfId="2" applyNumberFormat="1" applyFont="1" applyBorder="1" applyAlignment="1">
      <alignment horizontal="left" vertical="center"/>
    </xf>
    <xf numFmtId="49" fontId="12" fillId="0" borderId="11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16" fillId="0" borderId="24" xfId="2" applyNumberFormat="1" applyFont="1" applyBorder="1" applyAlignment="1">
      <alignment horizontal="center" vertical="center"/>
    </xf>
    <xf numFmtId="0" fontId="41" fillId="0" borderId="36" xfId="0" applyFont="1" applyBorder="1" applyAlignment="1">
      <alignment horizontal="center" vertical="center" readingOrder="1"/>
    </xf>
    <xf numFmtId="0" fontId="21" fillId="0" borderId="37" xfId="3" applyFont="1" applyBorder="1" applyAlignment="1">
      <alignment horizontal="center" vertical="center" wrapText="1"/>
    </xf>
    <xf numFmtId="0" fontId="42" fillId="0" borderId="37" xfId="0" applyFont="1" applyBorder="1" applyAlignment="1">
      <alignment horizontal="center" vertical="center" wrapText="1"/>
    </xf>
    <xf numFmtId="165" fontId="42" fillId="3" borderId="37" xfId="5" applyNumberFormat="1" applyFont="1" applyFill="1" applyBorder="1" applyAlignment="1">
      <alignment horizontal="center" vertical="center" wrapText="1"/>
    </xf>
    <xf numFmtId="49" fontId="44" fillId="0" borderId="11" xfId="0" applyNumberFormat="1" applyFont="1" applyBorder="1" applyAlignment="1">
      <alignment horizontal="left" vertical="center"/>
    </xf>
    <xf numFmtId="49" fontId="44" fillId="0" borderId="0" xfId="0" applyNumberFormat="1" applyFont="1" applyAlignment="1">
      <alignment horizontal="left" vertical="center"/>
    </xf>
    <xf numFmtId="49" fontId="45" fillId="0" borderId="0" xfId="0" applyNumberFormat="1" applyFont="1"/>
    <xf numFmtId="49" fontId="45" fillId="0" borderId="0" xfId="0" applyNumberFormat="1" applyFont="1" applyAlignment="1">
      <alignment horizontal="center"/>
    </xf>
    <xf numFmtId="166" fontId="7" fillId="3" borderId="12" xfId="0" applyNumberFormat="1" applyFont="1" applyFill="1" applyBorder="1"/>
    <xf numFmtId="49" fontId="46" fillId="0" borderId="11" xfId="0" applyNumberFormat="1" applyFont="1" applyBorder="1"/>
    <xf numFmtId="49" fontId="46" fillId="0" borderId="0" xfId="0" applyNumberFormat="1" applyFont="1"/>
    <xf numFmtId="49" fontId="46" fillId="0" borderId="0" xfId="0" applyNumberFormat="1" applyFont="1" applyAlignment="1">
      <alignment horizontal="center"/>
    </xf>
    <xf numFmtId="49" fontId="46" fillId="0" borderId="12" xfId="0" applyNumberFormat="1" applyFont="1" applyBorder="1"/>
    <xf numFmtId="166" fontId="46" fillId="0" borderId="12" xfId="0" applyNumberFormat="1" applyFont="1" applyBorder="1"/>
    <xf numFmtId="0" fontId="48" fillId="0" borderId="38" xfId="0" applyFont="1" applyBorder="1"/>
    <xf numFmtId="0" fontId="48" fillId="0" borderId="39" xfId="0" applyFont="1" applyBorder="1"/>
    <xf numFmtId="0" fontId="23" fillId="0" borderId="0" xfId="0" applyFont="1" applyAlignment="1">
      <alignment horizontal="center"/>
    </xf>
    <xf numFmtId="0" fontId="15" fillId="0" borderId="11" xfId="0" applyFont="1" applyBorder="1" applyAlignment="1">
      <alignment horizontal="left"/>
    </xf>
    <xf numFmtId="0" fontId="15" fillId="0" borderId="0" xfId="0" applyFont="1" applyAlignment="1">
      <alignment horizontal="left"/>
    </xf>
    <xf numFmtId="49" fontId="15" fillId="0" borderId="0" xfId="0" applyNumberFormat="1" applyFont="1"/>
    <xf numFmtId="49" fontId="16" fillId="0" borderId="11" xfId="2" applyNumberFormat="1" applyFont="1" applyBorder="1" applyAlignment="1">
      <alignment horizontal="left"/>
    </xf>
    <xf numFmtId="49" fontId="16" fillId="0" borderId="0" xfId="2" applyNumberFormat="1" applyFont="1" applyAlignment="1">
      <alignment horizontal="left"/>
    </xf>
    <xf numFmtId="49" fontId="16" fillId="0" borderId="12" xfId="2" applyNumberFormat="1" applyFont="1" applyBorder="1" applyAlignment="1">
      <alignment horizontal="left"/>
    </xf>
    <xf numFmtId="49" fontId="3" fillId="0" borderId="11" xfId="2" applyNumberFormat="1" applyFont="1" applyBorder="1" applyAlignment="1">
      <alignment vertical="center"/>
    </xf>
    <xf numFmtId="1" fontId="3" fillId="0" borderId="0" xfId="2" applyNumberFormat="1" applyFont="1" applyAlignment="1">
      <alignment horizontal="center" vertical="center"/>
    </xf>
    <xf numFmtId="49" fontId="39" fillId="0" borderId="0" xfId="2" applyNumberFormat="1" applyFont="1" applyAlignment="1">
      <alignment horizontal="center"/>
    </xf>
    <xf numFmtId="49" fontId="39" fillId="0" borderId="11" xfId="2" applyNumberFormat="1" applyFont="1" applyBorder="1" applyAlignment="1">
      <alignment horizontal="center"/>
    </xf>
    <xf numFmtId="49" fontId="39" fillId="0" borderId="0" xfId="2" applyNumberFormat="1" applyFont="1" applyAlignment="1">
      <alignment horizontal="left"/>
    </xf>
    <xf numFmtId="49" fontId="39" fillId="0" borderId="12" xfId="2" applyNumberFormat="1" applyFont="1" applyBorder="1" applyAlignment="1">
      <alignment horizontal="center"/>
    </xf>
    <xf numFmtId="0" fontId="3" fillId="0" borderId="11" xfId="2" applyFont="1" applyBorder="1" applyAlignment="1">
      <alignment vertical="center"/>
    </xf>
    <xf numFmtId="164" fontId="3" fillId="0" borderId="0" xfId="2" applyNumberFormat="1" applyFont="1" applyAlignment="1">
      <alignment horizontal="center" vertical="center"/>
    </xf>
    <xf numFmtId="0" fontId="21" fillId="0" borderId="12" xfId="0" applyFont="1" applyBorder="1"/>
    <xf numFmtId="49" fontId="39" fillId="0" borderId="11" xfId="2" applyNumberFormat="1" applyFont="1" applyBorder="1"/>
    <xf numFmtId="49" fontId="39" fillId="0" borderId="0" xfId="2" applyNumberFormat="1" applyFont="1"/>
    <xf numFmtId="49" fontId="16" fillId="0" borderId="12" xfId="2" applyNumberFormat="1" applyFont="1" applyBorder="1" applyAlignment="1">
      <alignment horizontal="center"/>
    </xf>
    <xf numFmtId="49" fontId="39" fillId="0" borderId="11" xfId="2" applyNumberFormat="1" applyFont="1" applyBorder="1" applyAlignment="1">
      <alignment horizontal="left"/>
    </xf>
    <xf numFmtId="49" fontId="39" fillId="0" borderId="20" xfId="2" applyNumberFormat="1" applyFont="1" applyBorder="1" applyAlignment="1">
      <alignment horizontal="left"/>
    </xf>
    <xf numFmtId="49" fontId="39" fillId="0" borderId="21" xfId="2" applyNumberFormat="1" applyFont="1" applyBorder="1" applyAlignment="1">
      <alignment horizontal="left"/>
    </xf>
    <xf numFmtId="49" fontId="39" fillId="0" borderId="21" xfId="2" applyNumberFormat="1" applyFont="1" applyBorder="1" applyAlignment="1">
      <alignment horizontal="center"/>
    </xf>
    <xf numFmtId="49" fontId="39" fillId="0" borderId="20" xfId="2" applyNumberFormat="1" applyFont="1" applyBorder="1" applyAlignment="1">
      <alignment horizontal="center"/>
    </xf>
    <xf numFmtId="49" fontId="16" fillId="0" borderId="21" xfId="2" applyNumberFormat="1" applyFont="1" applyBorder="1" applyAlignment="1">
      <alignment horizontal="left"/>
    </xf>
    <xf numFmtId="49" fontId="16" fillId="0" borderId="22" xfId="2" applyNumberFormat="1" applyFont="1" applyBorder="1" applyAlignment="1">
      <alignment horizontal="right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14" fillId="0" borderId="24" xfId="2" applyNumberFormat="1" applyFont="1" applyBorder="1" applyAlignment="1">
      <alignment horizontal="center" vertical="center"/>
    </xf>
    <xf numFmtId="49" fontId="14" fillId="0" borderId="1" xfId="2" applyNumberFormat="1" applyFont="1" applyBorder="1" applyAlignment="1">
      <alignment horizontal="center" vertical="center" wrapText="1"/>
    </xf>
    <xf numFmtId="49" fontId="14" fillId="0" borderId="24" xfId="2" applyNumberFormat="1" applyFont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0" fontId="14" fillId="4" borderId="24" xfId="6" applyFont="1" applyFill="1" applyBorder="1" applyAlignment="1">
      <alignment horizontal="center" vertical="center" wrapText="1"/>
    </xf>
    <xf numFmtId="0" fontId="14" fillId="4" borderId="5" xfId="6" applyFont="1" applyFill="1" applyBorder="1" applyAlignment="1">
      <alignment horizontal="center" vertical="center"/>
    </xf>
    <xf numFmtId="1" fontId="42" fillId="5" borderId="37" xfId="0" applyNumberFormat="1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49" fontId="23" fillId="0" borderId="37" xfId="2" applyNumberFormat="1" applyFont="1" applyBorder="1" applyAlignment="1">
      <alignment horizontal="center" vertical="center" wrapText="1"/>
    </xf>
    <xf numFmtId="0" fontId="30" fillId="3" borderId="40" xfId="0" applyFont="1" applyFill="1" applyBorder="1" applyAlignment="1">
      <alignment horizontal="center" vertical="center" wrapText="1"/>
    </xf>
    <xf numFmtId="0" fontId="42" fillId="3" borderId="7" xfId="0" applyFont="1" applyFill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165" fontId="42" fillId="3" borderId="7" xfId="5" applyNumberFormat="1" applyFont="1" applyFill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/>
    </xf>
    <xf numFmtId="49" fontId="15" fillId="0" borderId="37" xfId="2" applyNumberFormat="1" applyFont="1" applyBorder="1" applyAlignment="1">
      <alignment horizontal="center" vertical="center" wrapText="1"/>
    </xf>
    <xf numFmtId="49" fontId="23" fillId="0" borderId="36" xfId="2" applyNumberFormat="1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51" fillId="0" borderId="36" xfId="0" applyFont="1" applyBorder="1" applyAlignment="1">
      <alignment horizontal="center" vertical="center" readingOrder="1"/>
    </xf>
    <xf numFmtId="0" fontId="49" fillId="0" borderId="37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30" fillId="0" borderId="7" xfId="0" applyFont="1" applyBorder="1" applyAlignment="1">
      <alignment horizontal="center" vertical="center" wrapText="1"/>
    </xf>
    <xf numFmtId="0" fontId="30" fillId="0" borderId="7" xfId="6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30" fillId="0" borderId="37" xfId="6" applyFont="1" applyBorder="1" applyAlignment="1">
      <alignment horizontal="center" vertical="center" wrapText="1"/>
    </xf>
    <xf numFmtId="0" fontId="42" fillId="0" borderId="37" xfId="0" applyFont="1" applyBorder="1" applyAlignment="1">
      <alignment horizontal="center" vertical="center"/>
    </xf>
    <xf numFmtId="166" fontId="30" fillId="4" borderId="37" xfId="6" applyNumberFormat="1" applyFont="1" applyFill="1" applyBorder="1" applyAlignment="1">
      <alignment horizontal="center" vertical="center" wrapText="1"/>
    </xf>
    <xf numFmtId="1" fontId="42" fillId="5" borderId="14" xfId="0" applyNumberFormat="1" applyFont="1" applyFill="1" applyBorder="1" applyAlignment="1">
      <alignment horizontal="center" vertical="center" wrapText="1"/>
    </xf>
    <xf numFmtId="165" fontId="42" fillId="3" borderId="14" xfId="5" applyNumberFormat="1" applyFont="1" applyFill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37" xfId="6" applyFont="1" applyBorder="1" applyAlignment="1">
      <alignment horizontal="center" vertical="center" wrapText="1"/>
    </xf>
    <xf numFmtId="0" fontId="42" fillId="0" borderId="36" xfId="0" applyFont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164" fontId="10" fillId="0" borderId="20" xfId="0" applyNumberFormat="1" applyFont="1" applyBorder="1" applyAlignment="1">
      <alignment horizontal="center"/>
    </xf>
    <xf numFmtId="1" fontId="10" fillId="0" borderId="26" xfId="0" applyNumberFormat="1" applyFont="1" applyBorder="1" applyAlignment="1">
      <alignment horizontal="center"/>
    </xf>
    <xf numFmtId="0" fontId="35" fillId="0" borderId="1" xfId="0" applyFont="1" applyBorder="1" applyAlignment="1">
      <alignment horizontal="center" vertical="center" readingOrder="1"/>
    </xf>
    <xf numFmtId="0" fontId="24" fillId="3" borderId="2" xfId="0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6" fontId="30" fillId="0" borderId="41" xfId="2" applyNumberFormat="1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7" xfId="6" applyFont="1" applyBorder="1" applyAlignment="1">
      <alignment horizontal="center" vertical="center" wrapText="1"/>
    </xf>
    <xf numFmtId="166" fontId="15" fillId="0" borderId="41" xfId="2" applyNumberFormat="1" applyFont="1" applyBorder="1" applyAlignment="1">
      <alignment horizontal="center" vertical="center" wrapText="1"/>
    </xf>
    <xf numFmtId="1" fontId="43" fillId="0" borderId="25" xfId="2" applyNumberFormat="1" applyFont="1" applyBorder="1" applyAlignment="1">
      <alignment horizontal="center" vertical="center"/>
    </xf>
    <xf numFmtId="166" fontId="34" fillId="0" borderId="25" xfId="2" applyNumberFormat="1" applyFont="1" applyBorder="1" applyAlignment="1">
      <alignment horizontal="center" vertical="center" wrapText="1"/>
    </xf>
    <xf numFmtId="166" fontId="30" fillId="0" borderId="29" xfId="2" applyNumberFormat="1" applyFont="1" applyBorder="1" applyAlignment="1">
      <alignment horizontal="center" vertical="center" wrapText="1"/>
    </xf>
    <xf numFmtId="166" fontId="23" fillId="0" borderId="41" xfId="2" applyNumberFormat="1" applyFont="1" applyBorder="1" applyAlignment="1">
      <alignment horizontal="center" vertical="center" wrapText="1"/>
    </xf>
    <xf numFmtId="0" fontId="35" fillId="0" borderId="11" xfId="0" applyFont="1" applyBorder="1" applyAlignment="1">
      <alignment horizontal="center" vertical="center" readingOrder="1"/>
    </xf>
    <xf numFmtId="0" fontId="30" fillId="0" borderId="37" xfId="0" applyFont="1" applyBorder="1" applyAlignment="1">
      <alignment horizontal="center" vertical="center"/>
    </xf>
    <xf numFmtId="166" fontId="42" fillId="0" borderId="37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readingOrder="1"/>
    </xf>
    <xf numFmtId="0" fontId="20" fillId="0" borderId="0" xfId="0" applyFont="1" applyAlignment="1">
      <alignment horizontal="center" vertical="center"/>
    </xf>
    <xf numFmtId="0" fontId="23" fillId="0" borderId="0" xfId="2" applyFont="1" applyAlignment="1">
      <alignment vertical="center" wrapText="1"/>
    </xf>
    <xf numFmtId="0" fontId="23" fillId="0" borderId="21" xfId="2" applyFont="1" applyBorder="1" applyAlignment="1">
      <alignment vertical="center" wrapText="1"/>
    </xf>
    <xf numFmtId="0" fontId="10" fillId="0" borderId="0" xfId="2" applyFont="1" applyAlignment="1">
      <alignment horizontal="center" vertical="center" wrapText="1"/>
    </xf>
    <xf numFmtId="0" fontId="51" fillId="0" borderId="30" xfId="0" applyFont="1" applyBorder="1" applyAlignment="1">
      <alignment horizontal="center" vertical="center" readingOrder="1"/>
    </xf>
    <xf numFmtId="0" fontId="49" fillId="0" borderId="14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30" fillId="0" borderId="14" xfId="6" applyFont="1" applyBorder="1" applyAlignment="1">
      <alignment horizontal="center" vertical="center" wrapText="1"/>
    </xf>
    <xf numFmtId="166" fontId="30" fillId="0" borderId="31" xfId="2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6" fillId="0" borderId="21" xfId="0" applyFont="1" applyBorder="1" applyAlignment="1">
      <alignment horizontal="center" vertical="center" wrapText="1"/>
    </xf>
    <xf numFmtId="167" fontId="52" fillId="0" borderId="0" xfId="0" applyNumberFormat="1" applyFont="1" applyAlignment="1">
      <alignment horizontal="center" vertical="center"/>
    </xf>
    <xf numFmtId="167" fontId="52" fillId="0" borderId="0" xfId="0" applyNumberFormat="1" applyFont="1"/>
    <xf numFmtId="0" fontId="10" fillId="0" borderId="2" xfId="2" applyFont="1" applyBorder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0" fillId="0" borderId="21" xfId="2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/>
    </xf>
    <xf numFmtId="49" fontId="13" fillId="0" borderId="11" xfId="0" applyNumberFormat="1" applyFont="1" applyBorder="1" applyAlignment="1">
      <alignment horizontal="left" vertical="center" wrapText="1"/>
    </xf>
    <xf numFmtId="49" fontId="13" fillId="0" borderId="0" xfId="0" applyNumberFormat="1" applyFont="1" applyAlignment="1">
      <alignment horizontal="left" vertical="center" wrapText="1"/>
    </xf>
    <xf numFmtId="49" fontId="13" fillId="0" borderId="11" xfId="0" applyNumberFormat="1" applyFont="1" applyBorder="1" applyAlignment="1">
      <alignment horizontal="left" vertical="top" wrapText="1"/>
    </xf>
    <xf numFmtId="49" fontId="13" fillId="0" borderId="0" xfId="0" applyNumberFormat="1" applyFont="1" applyAlignment="1">
      <alignment horizontal="left" vertical="top" wrapText="1"/>
    </xf>
    <xf numFmtId="49" fontId="13" fillId="0" borderId="20" xfId="0" applyNumberFormat="1" applyFont="1" applyBorder="1" applyAlignment="1">
      <alignment horizontal="left" vertical="top" wrapText="1"/>
    </xf>
    <xf numFmtId="49" fontId="13" fillId="0" borderId="21" xfId="0" applyNumberFormat="1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49" fontId="12" fillId="0" borderId="23" xfId="2" applyNumberFormat="1" applyFont="1" applyBorder="1" applyAlignment="1">
      <alignment horizontal="left" vertical="center"/>
    </xf>
    <xf numFmtId="49" fontId="12" fillId="0" borderId="3" xfId="2" applyNumberFormat="1" applyFont="1" applyBorder="1" applyAlignment="1">
      <alignment horizontal="left" vertical="center"/>
    </xf>
    <xf numFmtId="49" fontId="18" fillId="0" borderId="23" xfId="2" applyNumberFormat="1" applyFont="1" applyBorder="1" applyAlignment="1">
      <alignment horizontal="left" vertical="center"/>
    </xf>
    <xf numFmtId="49" fontId="18" fillId="0" borderId="3" xfId="2" applyNumberFormat="1" applyFont="1" applyBorder="1" applyAlignment="1">
      <alignment horizontal="left" vertical="center"/>
    </xf>
    <xf numFmtId="49" fontId="18" fillId="0" borderId="4" xfId="2" applyNumberFormat="1" applyFont="1" applyBorder="1" applyAlignment="1">
      <alignment horizontal="left" vertical="center"/>
    </xf>
    <xf numFmtId="0" fontId="50" fillId="0" borderId="23" xfId="2" applyFont="1" applyBorder="1" applyAlignment="1">
      <alignment horizontal="center" vertical="center" wrapText="1"/>
    </xf>
    <xf numFmtId="0" fontId="50" fillId="0" borderId="3" xfId="2" applyFont="1" applyBorder="1" applyAlignment="1">
      <alignment horizontal="center" vertical="center" wrapText="1"/>
    </xf>
    <xf numFmtId="0" fontId="50" fillId="0" borderId="4" xfId="2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2" fontId="4" fillId="0" borderId="8" xfId="2" applyNumberFormat="1" applyFont="1" applyBorder="1" applyAlignment="1">
      <alignment horizontal="center"/>
    </xf>
    <xf numFmtId="2" fontId="4" fillId="0" borderId="9" xfId="2" applyNumberFormat="1" applyFont="1" applyBorder="1" applyAlignment="1">
      <alignment horizontal="center"/>
    </xf>
    <xf numFmtId="2" fontId="4" fillId="0" borderId="10" xfId="2" applyNumberFormat="1" applyFont="1" applyBorder="1" applyAlignment="1">
      <alignment horizontal="center"/>
    </xf>
    <xf numFmtId="0" fontId="11" fillId="0" borderId="11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3" fillId="0" borderId="11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49" fontId="38" fillId="0" borderId="19" xfId="0" applyNumberFormat="1" applyFont="1" applyBorder="1" applyAlignment="1">
      <alignment horizontal="left" vertical="center"/>
    </xf>
    <xf numFmtId="49" fontId="38" fillId="0" borderId="16" xfId="0" applyNumberFormat="1" applyFont="1" applyBorder="1" applyAlignment="1">
      <alignment horizontal="left" vertical="center"/>
    </xf>
    <xf numFmtId="49" fontId="38" fillId="0" borderId="13" xfId="0" applyNumberFormat="1" applyFont="1" applyBorder="1" applyAlignment="1">
      <alignment horizontal="left" vertical="center"/>
    </xf>
    <xf numFmtId="49" fontId="3" fillId="0" borderId="14" xfId="2" applyNumberFormat="1" applyFont="1" applyBorder="1" applyAlignment="1">
      <alignment horizontal="left" vertical="center"/>
    </xf>
    <xf numFmtId="49" fontId="3" fillId="0" borderId="31" xfId="2" applyNumberFormat="1" applyFont="1" applyBorder="1" applyAlignment="1">
      <alignment horizontal="left" vertical="center"/>
    </xf>
    <xf numFmtId="49" fontId="37" fillId="2" borderId="23" xfId="2" applyNumberFormat="1" applyFont="1" applyFill="1" applyBorder="1" applyAlignment="1">
      <alignment horizontal="center" vertical="center"/>
    </xf>
    <xf numFmtId="49" fontId="37" fillId="2" borderId="3" xfId="2" applyNumberFormat="1" applyFont="1" applyFill="1" applyBorder="1" applyAlignment="1">
      <alignment horizontal="center" vertical="center"/>
    </xf>
    <xf numFmtId="49" fontId="37" fillId="2" borderId="4" xfId="2" applyNumberFormat="1" applyFont="1" applyFill="1" applyBorder="1" applyAlignment="1">
      <alignment horizontal="center" vertical="center"/>
    </xf>
    <xf numFmtId="49" fontId="5" fillId="0" borderId="28" xfId="2" applyNumberFormat="1" applyBorder="1" applyAlignment="1">
      <alignment horizontal="left"/>
    </xf>
    <xf numFmtId="49" fontId="5" fillId="0" borderId="9" xfId="2" applyNumberFormat="1" applyBorder="1" applyAlignment="1">
      <alignment horizontal="left"/>
    </xf>
    <xf numFmtId="49" fontId="5" fillId="0" borderId="6" xfId="2" applyNumberFormat="1" applyBorder="1" applyAlignment="1">
      <alignment horizontal="left"/>
    </xf>
    <xf numFmtId="49" fontId="3" fillId="0" borderId="30" xfId="2" applyNumberFormat="1" applyFont="1" applyBorder="1" applyAlignment="1">
      <alignment horizontal="left" vertical="center"/>
    </xf>
    <xf numFmtId="49" fontId="5" fillId="0" borderId="32" xfId="2" applyNumberFormat="1" applyBorder="1" applyAlignment="1">
      <alignment horizontal="left" vertical="center"/>
    </xf>
    <xf numFmtId="49" fontId="5" fillId="0" borderId="18" xfId="2" applyNumberFormat="1" applyBorder="1" applyAlignment="1">
      <alignment horizontal="left" vertical="center"/>
    </xf>
    <xf numFmtId="49" fontId="5" fillId="0" borderId="33" xfId="2" applyNumberFormat="1" applyBorder="1" applyAlignment="1">
      <alignment horizontal="left" vertical="center"/>
    </xf>
    <xf numFmtId="49" fontId="5" fillId="0" borderId="34" xfId="2" applyNumberFormat="1" applyBorder="1" applyAlignment="1">
      <alignment horizontal="left" vertical="center"/>
    </xf>
    <xf numFmtId="49" fontId="5" fillId="0" borderId="35" xfId="2" applyNumberFormat="1" applyBorder="1" applyAlignment="1">
      <alignment horizontal="left" vertical="center"/>
    </xf>
    <xf numFmtId="49" fontId="5" fillId="0" borderId="11" xfId="2" applyNumberFormat="1" applyBorder="1" applyAlignment="1">
      <alignment horizontal="left"/>
    </xf>
    <xf numFmtId="49" fontId="5" fillId="0" borderId="0" xfId="2" applyNumberFormat="1" applyAlignment="1">
      <alignment horizontal="left"/>
    </xf>
    <xf numFmtId="49" fontId="5" fillId="0" borderId="12" xfId="2" applyNumberFormat="1" applyBorder="1" applyAlignment="1">
      <alignment horizontal="left"/>
    </xf>
    <xf numFmtId="49" fontId="3" fillId="0" borderId="11" xfId="2" applyNumberFormat="1" applyFont="1" applyBorder="1" applyAlignment="1">
      <alignment horizontal="left"/>
    </xf>
    <xf numFmtId="49" fontId="3" fillId="0" borderId="0" xfId="2" applyNumberFormat="1" applyFont="1" applyAlignment="1">
      <alignment horizontal="left"/>
    </xf>
    <xf numFmtId="49" fontId="3" fillId="0" borderId="12" xfId="2" applyNumberFormat="1" applyFont="1" applyBorder="1" applyAlignment="1">
      <alignment horizontal="left"/>
    </xf>
    <xf numFmtId="49" fontId="12" fillId="0" borderId="3" xfId="2" applyNumberFormat="1" applyFont="1" applyBorder="1" applyAlignment="1">
      <alignment horizontal="center" vertical="top" wrapText="1"/>
    </xf>
    <xf numFmtId="49" fontId="12" fillId="0" borderId="23" xfId="2" applyNumberFormat="1" applyFont="1" applyBorder="1" applyAlignment="1">
      <alignment horizontal="left"/>
    </xf>
    <xf numFmtId="49" fontId="12" fillId="0" borderId="3" xfId="2" applyNumberFormat="1" applyFont="1" applyBorder="1" applyAlignment="1">
      <alignment horizontal="left"/>
    </xf>
    <xf numFmtId="49" fontId="12" fillId="0" borderId="4" xfId="2" applyNumberFormat="1" applyFont="1" applyBorder="1" applyAlignment="1">
      <alignment horizontal="left"/>
    </xf>
    <xf numFmtId="49" fontId="13" fillId="0" borderId="22" xfId="0" applyNumberFormat="1" applyFont="1" applyBorder="1" applyAlignment="1">
      <alignment horizontal="left" vertical="top" wrapText="1"/>
    </xf>
    <xf numFmtId="49" fontId="39" fillId="0" borderId="23" xfId="2" applyNumberFormat="1" applyFont="1" applyBorder="1" applyAlignment="1">
      <alignment horizontal="center" vertical="center"/>
    </xf>
    <xf numFmtId="49" fontId="39" fillId="0" borderId="3" xfId="2" applyNumberFormat="1" applyFont="1" applyBorder="1" applyAlignment="1">
      <alignment horizontal="center" vertical="center"/>
    </xf>
    <xf numFmtId="49" fontId="39" fillId="0" borderId="4" xfId="2" applyNumberFormat="1" applyFont="1" applyBorder="1" applyAlignment="1">
      <alignment horizontal="center" vertical="center"/>
    </xf>
    <xf numFmtId="49" fontId="16" fillId="0" borderId="23" xfId="2" applyNumberFormat="1" applyFont="1" applyBorder="1" applyAlignment="1">
      <alignment horizontal="center" vertical="center"/>
    </xf>
    <xf numFmtId="49" fontId="16" fillId="0" borderId="3" xfId="2" applyNumberFormat="1" applyFont="1" applyBorder="1" applyAlignment="1">
      <alignment horizontal="center" vertical="center"/>
    </xf>
    <xf numFmtId="49" fontId="16" fillId="0" borderId="4" xfId="2" applyNumberFormat="1" applyFont="1" applyBorder="1" applyAlignment="1">
      <alignment horizontal="center" vertical="center"/>
    </xf>
    <xf numFmtId="49" fontId="40" fillId="0" borderId="1" xfId="2" applyNumberFormat="1" applyFont="1" applyBorder="1" applyAlignment="1">
      <alignment horizontal="left" vertical="center"/>
    </xf>
    <xf numFmtId="49" fontId="40" fillId="0" borderId="2" xfId="2" applyNumberFormat="1" applyFont="1" applyBorder="1" applyAlignment="1">
      <alignment horizontal="left" vertical="center"/>
    </xf>
    <xf numFmtId="49" fontId="40" fillId="0" borderId="5" xfId="2" applyNumberFormat="1" applyFont="1" applyBorder="1" applyAlignment="1">
      <alignment horizontal="left" vertical="center"/>
    </xf>
    <xf numFmtId="49" fontId="40" fillId="0" borderId="28" xfId="2" applyNumberFormat="1" applyFont="1" applyBorder="1" applyAlignment="1">
      <alignment horizontal="left" vertical="center"/>
    </xf>
    <xf numFmtId="49" fontId="40" fillId="0" borderId="9" xfId="2" applyNumberFormat="1" applyFont="1" applyBorder="1" applyAlignment="1">
      <alignment horizontal="left" vertical="center"/>
    </xf>
    <xf numFmtId="49" fontId="12" fillId="0" borderId="20" xfId="2" applyNumberFormat="1" applyFont="1" applyBorder="1" applyAlignment="1">
      <alignment horizontal="left" vertical="center"/>
    </xf>
    <xf numFmtId="49" fontId="12" fillId="0" borderId="21" xfId="2" applyNumberFormat="1" applyFont="1" applyBorder="1" applyAlignment="1">
      <alignment horizontal="left" vertical="center"/>
    </xf>
    <xf numFmtId="49" fontId="12" fillId="0" borderId="2" xfId="2" applyNumberFormat="1" applyFont="1" applyBorder="1" applyAlignment="1">
      <alignment horizontal="center" vertical="center" wrapText="1"/>
    </xf>
    <xf numFmtId="49" fontId="12" fillId="0" borderId="0" xfId="2" applyNumberFormat="1" applyFont="1" applyAlignment="1">
      <alignment horizontal="center" vertical="center" wrapText="1"/>
    </xf>
    <xf numFmtId="49" fontId="12" fillId="0" borderId="5" xfId="2" applyNumberFormat="1" applyFont="1" applyBorder="1" applyAlignment="1">
      <alignment horizontal="center" vertical="center" wrapText="1"/>
    </xf>
    <xf numFmtId="49" fontId="33" fillId="0" borderId="23" xfId="2" applyNumberFormat="1" applyFont="1" applyBorder="1" applyAlignment="1">
      <alignment horizontal="left" vertical="center"/>
    </xf>
    <xf numFmtId="49" fontId="33" fillId="0" borderId="3" xfId="2" applyNumberFormat="1" applyFont="1" applyBorder="1" applyAlignment="1">
      <alignment horizontal="left" vertical="center"/>
    </xf>
    <xf numFmtId="49" fontId="33" fillId="0" borderId="23" xfId="2" applyNumberFormat="1" applyFont="1" applyBorder="1" applyAlignment="1">
      <alignment horizontal="left" vertical="center" wrapText="1"/>
    </xf>
    <xf numFmtId="49" fontId="33" fillId="0" borderId="3" xfId="2" applyNumberFormat="1" applyFont="1" applyBorder="1" applyAlignment="1">
      <alignment horizontal="left" vertical="center" wrapText="1"/>
    </xf>
    <xf numFmtId="49" fontId="33" fillId="0" borderId="4" xfId="2" applyNumberFormat="1" applyFont="1" applyBorder="1" applyAlignment="1">
      <alignment horizontal="left" vertical="center" wrapText="1"/>
    </xf>
    <xf numFmtId="49" fontId="12" fillId="0" borderId="1" xfId="2" applyNumberFormat="1" applyFont="1" applyBorder="1" applyAlignment="1">
      <alignment horizontal="center" vertical="center" wrapText="1"/>
    </xf>
    <xf numFmtId="49" fontId="12" fillId="0" borderId="11" xfId="2" applyNumberFormat="1" applyFont="1" applyBorder="1" applyAlignment="1">
      <alignment horizontal="center" vertical="center" wrapText="1"/>
    </xf>
    <xf numFmtId="49" fontId="12" fillId="0" borderId="12" xfId="2" applyNumberFormat="1" applyFont="1" applyBorder="1" applyAlignment="1">
      <alignment horizontal="center" vertical="center" wrapText="1"/>
    </xf>
    <xf numFmtId="49" fontId="12" fillId="0" borderId="20" xfId="2" applyNumberFormat="1" applyFont="1" applyBorder="1" applyAlignment="1">
      <alignment horizontal="center" vertical="center" wrapText="1"/>
    </xf>
    <xf numFmtId="49" fontId="12" fillId="0" borderId="21" xfId="2" applyNumberFormat="1" applyFont="1" applyBorder="1" applyAlignment="1">
      <alignment horizontal="center" vertical="center" wrapText="1"/>
    </xf>
    <xf numFmtId="49" fontId="12" fillId="0" borderId="22" xfId="2" applyNumberFormat="1" applyFont="1" applyBorder="1" applyAlignment="1">
      <alignment horizontal="center" vertical="center" wrapText="1"/>
    </xf>
    <xf numFmtId="49" fontId="46" fillId="0" borderId="11" xfId="0" applyNumberFormat="1" applyFont="1" applyBorder="1" applyAlignment="1">
      <alignment horizontal="left"/>
    </xf>
    <xf numFmtId="49" fontId="46" fillId="0" borderId="0" xfId="0" applyNumberFormat="1" applyFont="1" applyAlignment="1">
      <alignment horizontal="left"/>
    </xf>
    <xf numFmtId="49" fontId="46" fillId="0" borderId="12" xfId="0" applyNumberFormat="1" applyFont="1" applyBorder="1" applyAlignment="1">
      <alignment horizontal="left"/>
    </xf>
    <xf numFmtId="49" fontId="16" fillId="0" borderId="1" xfId="2" applyNumberFormat="1" applyFont="1" applyBorder="1" applyAlignment="1">
      <alignment horizontal="left"/>
    </xf>
    <xf numFmtId="49" fontId="16" fillId="0" borderId="2" xfId="2" applyNumberFormat="1" applyFont="1" applyBorder="1" applyAlignment="1">
      <alignment horizontal="left"/>
    </xf>
    <xf numFmtId="49" fontId="16" fillId="0" borderId="5" xfId="2" applyNumberFormat="1" applyFont="1" applyBorder="1" applyAlignment="1">
      <alignment horizontal="left"/>
    </xf>
    <xf numFmtId="49" fontId="6" fillId="0" borderId="23" xfId="2" applyNumberFormat="1" applyFont="1" applyBorder="1" applyAlignment="1">
      <alignment horizontal="left" vertical="center"/>
    </xf>
    <xf numFmtId="49" fontId="6" fillId="0" borderId="3" xfId="2" applyNumberFormat="1" applyFont="1" applyBorder="1" applyAlignment="1">
      <alignment horizontal="left" vertical="center"/>
    </xf>
    <xf numFmtId="49" fontId="6" fillId="0" borderId="4" xfId="2" applyNumberFormat="1" applyFont="1" applyBorder="1" applyAlignment="1">
      <alignment horizontal="left" vertical="center"/>
    </xf>
    <xf numFmtId="49" fontId="14" fillId="0" borderId="42" xfId="2" applyNumberFormat="1" applyFont="1" applyBorder="1" applyAlignment="1">
      <alignment horizontal="center" vertical="center"/>
    </xf>
    <xf numFmtId="49" fontId="14" fillId="0" borderId="43" xfId="2" applyNumberFormat="1" applyFont="1" applyBorder="1" applyAlignment="1">
      <alignment horizontal="center" vertical="center"/>
    </xf>
  </cellXfs>
  <cellStyles count="7">
    <cellStyle name="Currency" xfId="5" builtinId="4"/>
    <cellStyle name="Hyperlink" xfId="1" builtinId="8"/>
    <cellStyle name="Normal" xfId="0" builtinId="0"/>
    <cellStyle name="Normal 3" xfId="2" xr:uid="{73ABFD8B-2DCD-4A38-93C9-24CE7BC35C6E}"/>
    <cellStyle name="Normal 7" xfId="3" xr:uid="{BCCCC153-4700-40DA-9761-82F8400E3C6F}"/>
    <cellStyle name="Normal_INV_03 LEMON" xfId="6" xr:uid="{041F9CEA-4F61-4EAE-8147-2CF00D6B02A1}"/>
    <cellStyle name="Normal_Packing Sheet" xfId="4" xr:uid="{EBDD4D6E-FFAD-4B45-8972-D16F18E3B3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-Mail-jsexports@liv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E-Mail-jsexports@liv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DDDF-232E-41BA-BE9C-49781E38ED1D}">
  <dimension ref="A1:J60"/>
  <sheetViews>
    <sheetView tabSelected="1" zoomScaleNormal="100" zoomScaleSheetLayoutView="145" workbookViewId="0">
      <selection sqref="A1:I1"/>
    </sheetView>
  </sheetViews>
  <sheetFormatPr defaultRowHeight="14.4"/>
  <cols>
    <col min="1" max="1" width="16.5546875" style="307" customWidth="1"/>
    <col min="2" max="2" width="15.109375" style="307" customWidth="1"/>
    <col min="3" max="4" width="20.44140625" style="307" customWidth="1"/>
    <col min="5" max="5" width="15.88671875" style="307" customWidth="1"/>
    <col min="6" max="6" width="11.6640625" style="308" customWidth="1"/>
    <col min="7" max="7" width="9" style="308" customWidth="1"/>
    <col min="8" max="8" width="14.5546875" style="307" customWidth="1"/>
    <col min="9" max="9" width="16.5546875" style="307" customWidth="1"/>
    <col min="10" max="10" width="14.33203125" bestFit="1" customWidth="1"/>
  </cols>
  <sheetData>
    <row r="1" spans="1:9" ht="18" customHeight="1" thickBot="1">
      <c r="A1" s="436" t="s">
        <v>88</v>
      </c>
      <c r="B1" s="437"/>
      <c r="C1" s="437"/>
      <c r="D1" s="437"/>
      <c r="E1" s="437"/>
      <c r="F1" s="437"/>
      <c r="G1" s="437"/>
      <c r="H1" s="437"/>
      <c r="I1" s="438"/>
    </row>
    <row r="2" spans="1:9" ht="17.25" customHeight="1" thickBot="1">
      <c r="A2" s="230" t="s">
        <v>1</v>
      </c>
      <c r="B2" s="231"/>
      <c r="C2" s="231"/>
      <c r="D2" s="231"/>
      <c r="E2" s="439" t="s">
        <v>2</v>
      </c>
      <c r="F2" s="440"/>
      <c r="G2" s="441"/>
      <c r="H2" s="232" t="s">
        <v>3</v>
      </c>
      <c r="I2" s="233"/>
    </row>
    <row r="3" spans="1:9" ht="16.5" customHeight="1" thickBot="1">
      <c r="A3" s="234" t="s">
        <v>4</v>
      </c>
      <c r="B3" s="235"/>
      <c r="C3" s="235"/>
      <c r="D3" s="235"/>
      <c r="E3" s="442" t="s">
        <v>149</v>
      </c>
      <c r="F3" s="434"/>
      <c r="G3" s="434"/>
      <c r="H3" s="236" t="s">
        <v>5</v>
      </c>
      <c r="I3" s="237"/>
    </row>
    <row r="4" spans="1:9" ht="16.5" customHeight="1">
      <c r="A4" s="234" t="s">
        <v>6</v>
      </c>
      <c r="B4" s="235"/>
      <c r="C4" s="235"/>
      <c r="D4" s="235"/>
      <c r="E4" s="443" t="s">
        <v>7</v>
      </c>
      <c r="F4" s="444"/>
      <c r="G4" s="445"/>
      <c r="H4" s="446"/>
      <c r="I4" s="447"/>
    </row>
    <row r="5" spans="1:9" ht="16.5" customHeight="1" thickBot="1">
      <c r="A5" s="234" t="s">
        <v>8</v>
      </c>
      <c r="B5" s="235"/>
      <c r="C5" s="235"/>
      <c r="D5" s="235"/>
      <c r="E5" s="431" t="s">
        <v>150</v>
      </c>
      <c r="F5" s="432"/>
      <c r="G5" s="433"/>
      <c r="H5" s="434"/>
      <c r="I5" s="435"/>
    </row>
    <row r="6" spans="1:9" ht="16.5" customHeight="1">
      <c r="A6" s="234" t="s">
        <v>9</v>
      </c>
      <c r="B6" s="235"/>
      <c r="C6" s="235"/>
      <c r="D6" s="235"/>
      <c r="E6" s="448" t="s">
        <v>10</v>
      </c>
      <c r="F6" s="449"/>
      <c r="G6" s="449"/>
      <c r="H6" s="449"/>
      <c r="I6" s="450"/>
    </row>
    <row r="7" spans="1:9" ht="16.5" customHeight="1">
      <c r="A7" s="234" t="s">
        <v>11</v>
      </c>
      <c r="B7" s="235"/>
      <c r="C7" s="235"/>
      <c r="D7" s="235"/>
      <c r="E7" s="451" t="s">
        <v>12</v>
      </c>
      <c r="F7" s="452"/>
      <c r="G7" s="452"/>
      <c r="H7" s="452"/>
      <c r="I7" s="453"/>
    </row>
    <row r="8" spans="1:9" ht="16.5" customHeight="1">
      <c r="A8" s="32" t="s">
        <v>13</v>
      </c>
      <c r="B8" s="8"/>
      <c r="C8" s="8"/>
      <c r="D8" s="8"/>
      <c r="E8" s="238"/>
      <c r="F8" s="239"/>
      <c r="G8" s="239"/>
      <c r="H8" s="239"/>
      <c r="I8" s="240"/>
    </row>
    <row r="9" spans="1:9" ht="16.5" customHeight="1" thickBot="1">
      <c r="A9" s="34" t="s">
        <v>14</v>
      </c>
      <c r="B9" s="35"/>
      <c r="C9" s="35"/>
      <c r="D9" s="8"/>
      <c r="E9" s="238"/>
      <c r="F9" s="239"/>
      <c r="G9" s="239"/>
      <c r="H9" s="239"/>
      <c r="I9" s="240"/>
    </row>
    <row r="10" spans="1:9" s="242" customFormat="1" ht="16.5" customHeight="1" thickBot="1">
      <c r="A10" s="241" t="s">
        <v>89</v>
      </c>
      <c r="B10" s="454"/>
      <c r="C10" s="454"/>
      <c r="D10" s="454"/>
      <c r="E10" s="455" t="s">
        <v>16</v>
      </c>
      <c r="F10" s="456"/>
      <c r="G10" s="456"/>
      <c r="H10" s="456"/>
      <c r="I10" s="457"/>
    </row>
    <row r="11" spans="1:9" ht="18" customHeight="1">
      <c r="A11" s="425" t="s">
        <v>17</v>
      </c>
      <c r="B11" s="426"/>
      <c r="C11" s="426"/>
      <c r="D11" s="243"/>
      <c r="E11" s="425" t="s">
        <v>17</v>
      </c>
      <c r="F11" s="426"/>
      <c r="G11" s="426"/>
      <c r="H11" s="51"/>
      <c r="I11" s="244"/>
    </row>
    <row r="12" spans="1:9" ht="18" customHeight="1">
      <c r="A12" s="429" t="s">
        <v>18</v>
      </c>
      <c r="B12" s="430"/>
      <c r="C12" s="430"/>
      <c r="D12" s="245"/>
      <c r="E12" s="429" t="s">
        <v>18</v>
      </c>
      <c r="F12" s="430"/>
      <c r="G12" s="430"/>
      <c r="H12" s="55"/>
      <c r="I12" s="57"/>
    </row>
    <row r="13" spans="1:9" ht="18" customHeight="1">
      <c r="A13" s="384" t="s">
        <v>19</v>
      </c>
      <c r="B13" s="385"/>
      <c r="C13" s="385"/>
      <c r="D13" s="245"/>
      <c r="E13" s="384" t="s">
        <v>19</v>
      </c>
      <c r="F13" s="385"/>
      <c r="G13" s="385"/>
      <c r="H13" s="58"/>
      <c r="I13" s="246"/>
    </row>
    <row r="14" spans="1:9" ht="18" customHeight="1" thickBot="1">
      <c r="A14" s="386" t="s">
        <v>20</v>
      </c>
      <c r="B14" s="387"/>
      <c r="C14" s="387"/>
      <c r="D14" s="245"/>
      <c r="E14" s="388" t="s">
        <v>21</v>
      </c>
      <c r="F14" s="389"/>
      <c r="G14" s="389"/>
      <c r="H14" s="389"/>
      <c r="I14" s="458"/>
    </row>
    <row r="15" spans="1:9" ht="21" customHeight="1" thickBot="1">
      <c r="A15" s="69" t="s">
        <v>22</v>
      </c>
      <c r="B15" s="71"/>
      <c r="C15" s="72"/>
      <c r="D15" s="72"/>
      <c r="E15" s="459" t="s">
        <v>23</v>
      </c>
      <c r="F15" s="460"/>
      <c r="G15" s="461"/>
      <c r="H15" s="459" t="s">
        <v>24</v>
      </c>
      <c r="I15" s="461"/>
    </row>
    <row r="16" spans="1:9" ht="21" customHeight="1" thickBot="1">
      <c r="A16" s="247"/>
      <c r="B16" s="248"/>
      <c r="C16" s="249"/>
      <c r="D16" s="249"/>
      <c r="E16" s="462" t="s">
        <v>11</v>
      </c>
      <c r="F16" s="463"/>
      <c r="G16" s="464"/>
      <c r="H16" s="462" t="s">
        <v>25</v>
      </c>
      <c r="I16" s="464"/>
    </row>
    <row r="17" spans="1:10" ht="15.75" customHeight="1" thickBot="1">
      <c r="A17" s="250" t="s">
        <v>26</v>
      </c>
      <c r="B17" s="251"/>
      <c r="C17" s="252" t="s">
        <v>27</v>
      </c>
      <c r="D17" s="253"/>
      <c r="E17" s="465" t="s">
        <v>28</v>
      </c>
      <c r="F17" s="466"/>
      <c r="G17" s="466"/>
      <c r="H17" s="466"/>
      <c r="I17" s="467"/>
    </row>
    <row r="18" spans="1:10" ht="15.75" customHeight="1" thickBot="1">
      <c r="A18" s="255" t="s">
        <v>29</v>
      </c>
      <c r="B18" s="256"/>
      <c r="C18" s="257" t="s">
        <v>90</v>
      </c>
      <c r="D18" s="258"/>
      <c r="E18" s="480" t="s">
        <v>91</v>
      </c>
      <c r="F18" s="472"/>
      <c r="G18" s="472"/>
      <c r="H18" s="472"/>
      <c r="I18" s="474"/>
    </row>
    <row r="19" spans="1:10" ht="15.75" customHeight="1">
      <c r="A19" s="259" t="s">
        <v>32</v>
      </c>
      <c r="B19" s="260"/>
      <c r="C19" s="261" t="s">
        <v>33</v>
      </c>
      <c r="D19" s="254"/>
      <c r="E19" s="481"/>
      <c r="F19" s="473"/>
      <c r="G19" s="473"/>
      <c r="H19" s="473"/>
      <c r="I19" s="482"/>
    </row>
    <row r="20" spans="1:10" ht="15.75" customHeight="1" thickBot="1">
      <c r="A20" s="255" t="s">
        <v>34</v>
      </c>
      <c r="B20" s="256"/>
      <c r="C20" s="262" t="s">
        <v>92</v>
      </c>
      <c r="D20" s="263"/>
      <c r="E20" s="481"/>
      <c r="F20" s="473"/>
      <c r="G20" s="473"/>
      <c r="H20" s="473"/>
      <c r="I20" s="482"/>
    </row>
    <row r="21" spans="1:10" ht="15.75" customHeight="1">
      <c r="A21" s="259" t="s">
        <v>35</v>
      </c>
      <c r="B21" s="260"/>
      <c r="C21" s="468" t="s">
        <v>36</v>
      </c>
      <c r="D21" s="469"/>
      <c r="E21" s="481"/>
      <c r="F21" s="473"/>
      <c r="G21" s="473"/>
      <c r="H21" s="473"/>
      <c r="I21" s="482"/>
    </row>
    <row r="22" spans="1:10" ht="15.75" customHeight="1" thickBot="1">
      <c r="A22" s="255" t="s">
        <v>37</v>
      </c>
      <c r="B22" s="256" t="s">
        <v>34</v>
      </c>
      <c r="C22" s="470" t="s">
        <v>25</v>
      </c>
      <c r="D22" s="471"/>
      <c r="E22" s="483"/>
      <c r="F22" s="484"/>
      <c r="G22" s="484"/>
      <c r="H22" s="484"/>
      <c r="I22" s="485"/>
    </row>
    <row r="23" spans="1:10" ht="31.5" customHeight="1" thickBot="1">
      <c r="A23" s="264" t="s">
        <v>143</v>
      </c>
      <c r="B23" s="472" t="s">
        <v>147</v>
      </c>
      <c r="C23" s="473"/>
      <c r="D23" s="473"/>
      <c r="E23" s="472"/>
      <c r="F23" s="472"/>
      <c r="G23" s="472"/>
      <c r="H23" s="472"/>
      <c r="I23" s="474"/>
    </row>
    <row r="24" spans="1:10" ht="31.5" customHeight="1" thickBot="1">
      <c r="A24" s="475" t="s">
        <v>150</v>
      </c>
      <c r="B24" s="476"/>
      <c r="C24" s="476"/>
      <c r="D24" s="476"/>
      <c r="E24" s="477" t="s">
        <v>139</v>
      </c>
      <c r="F24" s="478"/>
      <c r="G24" s="478"/>
      <c r="H24" s="478"/>
      <c r="I24" s="479"/>
    </row>
    <row r="25" spans="1:10" ht="37.5" customHeight="1" thickBot="1">
      <c r="A25" s="309" t="s">
        <v>93</v>
      </c>
      <c r="B25" s="310" t="s">
        <v>94</v>
      </c>
      <c r="C25" s="311" t="s">
        <v>95</v>
      </c>
      <c r="D25" s="311" t="s">
        <v>96</v>
      </c>
      <c r="E25" s="312" t="s">
        <v>97</v>
      </c>
      <c r="F25" s="311" t="s">
        <v>98</v>
      </c>
      <c r="G25" s="311" t="s">
        <v>99</v>
      </c>
      <c r="H25" s="313" t="s">
        <v>100</v>
      </c>
      <c r="I25" s="314" t="s">
        <v>101</v>
      </c>
    </row>
    <row r="26" spans="1:10" ht="51.75" customHeight="1">
      <c r="A26" s="318" t="s">
        <v>84</v>
      </c>
      <c r="B26" s="319">
        <v>196316</v>
      </c>
      <c r="C26" s="316" t="s">
        <v>127</v>
      </c>
      <c r="D26" s="316" t="s">
        <v>85</v>
      </c>
      <c r="E26" s="333">
        <v>94038900</v>
      </c>
      <c r="F26" s="320">
        <v>49</v>
      </c>
      <c r="G26" s="334" t="s">
        <v>102</v>
      </c>
      <c r="H26" s="321">
        <v>26.5</v>
      </c>
      <c r="I26" s="359">
        <f t="shared" ref="I26:I33" si="0">F26*H26</f>
        <v>1298.5</v>
      </c>
      <c r="J26" s="376">
        <f>I26*95.25</f>
        <v>123682.125</v>
      </c>
    </row>
    <row r="27" spans="1:10" ht="51.75" customHeight="1">
      <c r="A27" s="343" t="s">
        <v>129</v>
      </c>
      <c r="B27" s="266">
        <v>196304</v>
      </c>
      <c r="C27" s="266">
        <v>509372</v>
      </c>
      <c r="D27" s="267" t="s">
        <v>58</v>
      </c>
      <c r="E27" s="341">
        <v>94038900</v>
      </c>
      <c r="F27" s="315">
        <v>80</v>
      </c>
      <c r="G27" s="342" t="s">
        <v>102</v>
      </c>
      <c r="H27" s="268">
        <v>30</v>
      </c>
      <c r="I27" s="360">
        <f t="shared" si="0"/>
        <v>2400</v>
      </c>
      <c r="J27" s="376">
        <f t="shared" ref="J27:J33" si="1">I27*95.25</f>
        <v>228600</v>
      </c>
    </row>
    <row r="28" spans="1:10" ht="51.75" customHeight="1">
      <c r="A28" s="265" t="s">
        <v>125</v>
      </c>
      <c r="B28" s="266">
        <v>218529</v>
      </c>
      <c r="C28" s="266">
        <v>619462</v>
      </c>
      <c r="D28" s="322" t="s">
        <v>58</v>
      </c>
      <c r="E28" s="335">
        <v>94038900</v>
      </c>
      <c r="F28" s="315">
        <v>100</v>
      </c>
      <c r="G28" s="336" t="s">
        <v>102</v>
      </c>
      <c r="H28" s="268">
        <v>37</v>
      </c>
      <c r="I28" s="353">
        <f t="shared" si="0"/>
        <v>3700</v>
      </c>
      <c r="J28" s="376">
        <f t="shared" si="1"/>
        <v>352425</v>
      </c>
    </row>
    <row r="29" spans="1:10" ht="51.75" customHeight="1">
      <c r="A29" s="324" t="s">
        <v>86</v>
      </c>
      <c r="B29" s="317" t="s">
        <v>124</v>
      </c>
      <c r="C29" s="317" t="s">
        <v>126</v>
      </c>
      <c r="D29" s="323" t="s">
        <v>82</v>
      </c>
      <c r="E29" s="335">
        <v>94038900</v>
      </c>
      <c r="F29" s="337">
        <v>39</v>
      </c>
      <c r="G29" s="336" t="s">
        <v>102</v>
      </c>
      <c r="H29" s="338">
        <v>20</v>
      </c>
      <c r="I29" s="353">
        <f t="shared" si="0"/>
        <v>780</v>
      </c>
      <c r="J29" s="376">
        <f t="shared" si="1"/>
        <v>74295</v>
      </c>
    </row>
    <row r="30" spans="1:10" ht="51.75" customHeight="1">
      <c r="A30" s="326">
        <v>2226</v>
      </c>
      <c r="B30" s="327">
        <v>226820</v>
      </c>
      <c r="C30" s="327">
        <v>671818</v>
      </c>
      <c r="D30" s="327" t="s">
        <v>134</v>
      </c>
      <c r="E30" s="354">
        <v>94038900</v>
      </c>
      <c r="F30" s="315">
        <v>100</v>
      </c>
      <c r="G30" s="336" t="s">
        <v>102</v>
      </c>
      <c r="H30" s="268">
        <v>43</v>
      </c>
      <c r="I30" s="353">
        <f t="shared" si="0"/>
        <v>4300</v>
      </c>
      <c r="J30" s="376">
        <f t="shared" si="1"/>
        <v>409575</v>
      </c>
    </row>
    <row r="31" spans="1:10" ht="51.75" customHeight="1">
      <c r="A31" s="326">
        <v>2227</v>
      </c>
      <c r="B31" s="327">
        <v>226820</v>
      </c>
      <c r="C31" s="327">
        <v>671823</v>
      </c>
      <c r="D31" s="327" t="s">
        <v>135</v>
      </c>
      <c r="E31" s="354">
        <v>94038900</v>
      </c>
      <c r="F31" s="315">
        <v>46</v>
      </c>
      <c r="G31" s="336" t="s">
        <v>102</v>
      </c>
      <c r="H31" s="268">
        <v>40</v>
      </c>
      <c r="I31" s="353">
        <f t="shared" si="0"/>
        <v>1840</v>
      </c>
      <c r="J31" s="376">
        <f t="shared" si="1"/>
        <v>175260</v>
      </c>
    </row>
    <row r="32" spans="1:10" ht="51.75" customHeight="1">
      <c r="A32" s="265" t="s">
        <v>138</v>
      </c>
      <c r="B32" s="362">
        <v>236483</v>
      </c>
      <c r="C32" s="362">
        <v>728387</v>
      </c>
      <c r="D32" s="267" t="s">
        <v>137</v>
      </c>
      <c r="E32" s="335">
        <v>94038900</v>
      </c>
      <c r="F32" s="315">
        <v>22</v>
      </c>
      <c r="G32" s="355" t="s">
        <v>102</v>
      </c>
      <c r="H32" s="363">
        <v>13</v>
      </c>
      <c r="I32" s="356">
        <f t="shared" si="0"/>
        <v>286</v>
      </c>
      <c r="J32" s="376">
        <f t="shared" si="1"/>
        <v>27241.5</v>
      </c>
    </row>
    <row r="33" spans="1:10" ht="51.75" customHeight="1" thickBot="1">
      <c r="A33" s="369" t="s">
        <v>140</v>
      </c>
      <c r="B33" s="370">
        <v>232554</v>
      </c>
      <c r="C33" s="370">
        <v>699303</v>
      </c>
      <c r="D33" s="370" t="s">
        <v>141</v>
      </c>
      <c r="E33" s="371">
        <v>94038900</v>
      </c>
      <c r="F33" s="339">
        <v>25</v>
      </c>
      <c r="G33" s="372" t="s">
        <v>102</v>
      </c>
      <c r="H33" s="340">
        <v>89</v>
      </c>
      <c r="I33" s="373">
        <f t="shared" si="0"/>
        <v>2225</v>
      </c>
      <c r="J33" s="376">
        <f t="shared" si="1"/>
        <v>211931.25</v>
      </c>
    </row>
    <row r="34" spans="1:10" ht="23.25" customHeight="1" thickBot="1">
      <c r="A34" s="492" t="s">
        <v>142</v>
      </c>
      <c r="B34" s="493"/>
      <c r="C34" s="493"/>
      <c r="D34" s="493"/>
      <c r="E34" s="494"/>
      <c r="F34" s="357">
        <f>SUM(F26:F33)</f>
        <v>461</v>
      </c>
      <c r="G34" s="495" t="s">
        <v>103</v>
      </c>
      <c r="H34" s="496"/>
      <c r="I34" s="358">
        <f>SUM(I26:I33)</f>
        <v>16829.5</v>
      </c>
      <c r="J34" s="377">
        <f>I34*95.25</f>
        <v>1603009.875</v>
      </c>
    </row>
    <row r="35" spans="1:10" s="215" customFormat="1" ht="18" customHeight="1">
      <c r="A35" s="269" t="s">
        <v>104</v>
      </c>
      <c r="B35" s="270"/>
      <c r="C35" s="270"/>
      <c r="D35" s="270"/>
      <c r="E35" s="271"/>
      <c r="F35" s="272"/>
      <c r="G35" s="272"/>
      <c r="H35" s="271"/>
      <c r="I35" s="273" t="s">
        <v>34</v>
      </c>
    </row>
    <row r="36" spans="1:10" s="215" customFormat="1" ht="18" customHeight="1">
      <c r="A36" s="486" t="s">
        <v>105</v>
      </c>
      <c r="B36" s="487"/>
      <c r="C36" s="487"/>
      <c r="D36" s="487"/>
      <c r="E36" s="487"/>
      <c r="F36" s="487"/>
      <c r="G36" s="487"/>
      <c r="H36" s="487"/>
      <c r="I36" s="488"/>
      <c r="J36" s="215">
        <v>1603009.88</v>
      </c>
    </row>
    <row r="37" spans="1:10" s="215" customFormat="1" ht="18" customHeight="1">
      <c r="A37" s="274" t="s">
        <v>106</v>
      </c>
      <c r="B37" s="275"/>
      <c r="C37" s="275"/>
      <c r="D37" s="275"/>
      <c r="E37" s="275"/>
      <c r="F37" s="276"/>
      <c r="G37" s="276"/>
      <c r="H37" s="275"/>
      <c r="I37" s="277"/>
    </row>
    <row r="38" spans="1:10" s="215" customFormat="1" ht="18" customHeight="1">
      <c r="A38" s="486" t="s">
        <v>107</v>
      </c>
      <c r="B38" s="487"/>
      <c r="C38" s="487"/>
      <c r="D38" s="487"/>
      <c r="E38" s="487"/>
      <c r="F38" s="487"/>
      <c r="G38" s="487"/>
      <c r="H38" s="487"/>
      <c r="I38" s="488"/>
    </row>
    <row r="39" spans="1:10" s="215" customFormat="1" ht="18" customHeight="1">
      <c r="A39" s="274" t="s">
        <v>108</v>
      </c>
      <c r="B39" s="275"/>
      <c r="C39" s="275"/>
      <c r="D39" s="275"/>
      <c r="E39" s="275"/>
      <c r="F39" s="276"/>
      <c r="G39" s="276"/>
      <c r="H39" s="275"/>
      <c r="I39" s="278"/>
    </row>
    <row r="40" spans="1:10" s="215" customFormat="1" ht="18" customHeight="1">
      <c r="A40" s="274" t="s">
        <v>109</v>
      </c>
      <c r="B40" s="275"/>
      <c r="C40" s="275"/>
      <c r="D40" s="275"/>
      <c r="E40" s="275"/>
      <c r="F40" s="276"/>
      <c r="G40" s="276"/>
      <c r="H40" s="275"/>
      <c r="I40" s="278"/>
    </row>
    <row r="41" spans="1:10" s="215" customFormat="1" ht="18" customHeight="1">
      <c r="A41" s="279" t="s">
        <v>110</v>
      </c>
      <c r="B41" s="280"/>
      <c r="C41" s="280"/>
      <c r="D41" s="280"/>
      <c r="E41" s="281"/>
      <c r="F41" s="276"/>
      <c r="G41" s="276"/>
      <c r="H41" s="275"/>
      <c r="I41" s="277"/>
    </row>
    <row r="42" spans="1:10" s="215" customFormat="1" ht="18" customHeight="1">
      <c r="A42" s="282" t="s">
        <v>111</v>
      </c>
      <c r="B42" s="283"/>
      <c r="C42" s="283" t="s">
        <v>112</v>
      </c>
      <c r="D42" s="283"/>
      <c r="F42" s="276"/>
      <c r="G42" s="276"/>
      <c r="H42" s="275"/>
      <c r="I42" s="277"/>
    </row>
    <row r="43" spans="1:10" s="215" customFormat="1" ht="18" customHeight="1">
      <c r="A43" s="282" t="s">
        <v>113</v>
      </c>
      <c r="B43" s="283"/>
      <c r="C43" s="283" t="s">
        <v>114</v>
      </c>
      <c r="D43" s="283"/>
      <c r="F43" s="276"/>
      <c r="G43" s="276"/>
      <c r="H43" s="275"/>
      <c r="I43" s="277"/>
    </row>
    <row r="44" spans="1:10" s="215" customFormat="1" ht="18" customHeight="1">
      <c r="A44" s="282" t="s">
        <v>115</v>
      </c>
      <c r="B44" s="283"/>
      <c r="C44" s="284" t="s">
        <v>116</v>
      </c>
      <c r="D44" s="284"/>
      <c r="F44" s="276"/>
      <c r="G44" s="276"/>
      <c r="H44" s="275"/>
      <c r="I44" s="277"/>
    </row>
    <row r="45" spans="1:10" s="215" customFormat="1" ht="18" customHeight="1">
      <c r="A45" s="282" t="s">
        <v>117</v>
      </c>
      <c r="B45" s="283"/>
      <c r="C45" s="283" t="s">
        <v>4</v>
      </c>
      <c r="D45" s="283"/>
      <c r="F45" s="276"/>
      <c r="G45" s="276"/>
      <c r="H45" s="275"/>
      <c r="I45" s="277"/>
    </row>
    <row r="46" spans="1:10" s="215" customFormat="1" ht="18" customHeight="1" thickBot="1">
      <c r="A46" s="282" t="s">
        <v>118</v>
      </c>
      <c r="B46" s="283"/>
      <c r="C46" s="283" t="s">
        <v>119</v>
      </c>
      <c r="D46" s="283"/>
      <c r="F46" s="276"/>
      <c r="G46" s="276"/>
      <c r="H46" s="275"/>
      <c r="I46" s="277"/>
    </row>
    <row r="47" spans="1:10" s="215" customFormat="1" ht="18" customHeight="1">
      <c r="A47" s="282"/>
      <c r="B47" s="283"/>
      <c r="C47" s="283"/>
      <c r="D47" s="283"/>
      <c r="F47" s="489" t="s">
        <v>77</v>
      </c>
      <c r="G47" s="490"/>
      <c r="H47" s="490"/>
      <c r="I47" s="491"/>
    </row>
    <row r="48" spans="1:10" s="215" customFormat="1" ht="18" customHeight="1">
      <c r="A48" s="282"/>
      <c r="B48" s="283"/>
      <c r="C48" s="283"/>
      <c r="D48" s="283"/>
      <c r="F48" s="285"/>
      <c r="G48" s="286"/>
      <c r="H48" s="286"/>
      <c r="I48" s="287"/>
    </row>
    <row r="49" spans="1:9" s="215" customFormat="1" ht="18" customHeight="1">
      <c r="A49" s="288" t="s">
        <v>120</v>
      </c>
      <c r="B49" s="289">
        <f>PACKING!D67</f>
        <v>461</v>
      </c>
      <c r="E49" s="290"/>
      <c r="F49" s="291"/>
      <c r="G49" s="290"/>
      <c r="H49" s="292"/>
      <c r="I49" s="293"/>
    </row>
    <row r="50" spans="1:9" s="215" customFormat="1" ht="18" customHeight="1">
      <c r="A50" s="294" t="s">
        <v>121</v>
      </c>
      <c r="B50" s="295">
        <f>PACKING!D68</f>
        <v>62.218108000000001</v>
      </c>
      <c r="E50" s="290"/>
      <c r="F50" s="214"/>
      <c r="I50" s="296"/>
    </row>
    <row r="51" spans="1:9" s="215" customFormat="1" ht="18" customHeight="1">
      <c r="A51" s="297" t="s">
        <v>78</v>
      </c>
      <c r="B51" s="298"/>
      <c r="C51" s="298"/>
      <c r="D51" s="298"/>
      <c r="E51" s="290"/>
      <c r="F51" s="291"/>
      <c r="G51" s="290"/>
      <c r="H51" s="286"/>
      <c r="I51" s="299"/>
    </row>
    <row r="52" spans="1:9" s="215" customFormat="1" ht="18" customHeight="1">
      <c r="A52" s="300" t="s">
        <v>122</v>
      </c>
      <c r="B52" s="292"/>
      <c r="C52" s="292"/>
      <c r="D52" s="292"/>
      <c r="E52" s="290"/>
      <c r="F52" s="291"/>
      <c r="G52" s="290"/>
      <c r="H52" s="286"/>
      <c r="I52" s="299"/>
    </row>
    <row r="53" spans="1:9" ht="18" customHeight="1" thickBot="1">
      <c r="A53" s="301" t="s">
        <v>123</v>
      </c>
      <c r="B53" s="302"/>
      <c r="C53" s="302"/>
      <c r="D53" s="302"/>
      <c r="E53" s="303"/>
      <c r="F53" s="304"/>
      <c r="G53" s="303"/>
      <c r="H53" s="305"/>
      <c r="I53" s="306" t="s">
        <v>81</v>
      </c>
    </row>
    <row r="60" spans="1:9">
      <c r="E60"/>
    </row>
  </sheetData>
  <mergeCells count="35">
    <mergeCell ref="A38:I38"/>
    <mergeCell ref="F47:I47"/>
    <mergeCell ref="A34:E34"/>
    <mergeCell ref="G34:H34"/>
    <mergeCell ref="A36:I36"/>
    <mergeCell ref="C21:D21"/>
    <mergeCell ref="C22:D22"/>
    <mergeCell ref="B23:I23"/>
    <mergeCell ref="A24:D24"/>
    <mergeCell ref="E24:I24"/>
    <mergeCell ref="E18:I22"/>
    <mergeCell ref="E15:G15"/>
    <mergeCell ref="H15:I15"/>
    <mergeCell ref="E16:G16"/>
    <mergeCell ref="H16:I16"/>
    <mergeCell ref="E17:I17"/>
    <mergeCell ref="A12:C12"/>
    <mergeCell ref="E12:G12"/>
    <mergeCell ref="A13:C13"/>
    <mergeCell ref="E13:G13"/>
    <mergeCell ref="A14:C14"/>
    <mergeCell ref="E14:I14"/>
    <mergeCell ref="E6:I6"/>
    <mergeCell ref="E7:I7"/>
    <mergeCell ref="B10:D10"/>
    <mergeCell ref="E10:I10"/>
    <mergeCell ref="A11:C11"/>
    <mergeCell ref="E11:G11"/>
    <mergeCell ref="E5:G5"/>
    <mergeCell ref="H5:I5"/>
    <mergeCell ref="A1:I1"/>
    <mergeCell ref="E2:G2"/>
    <mergeCell ref="E3:G3"/>
    <mergeCell ref="E4:G4"/>
    <mergeCell ref="H4:I4"/>
  </mergeCells>
  <hyperlinks>
    <hyperlink ref="A8" r:id="rId1" xr:uid="{57F3CD44-837F-4DA5-A886-933F5BA320D4}"/>
  </hyperlinks>
  <pageMargins left="0.19685039370078741" right="0" top="0.19685039370078741" bottom="0" header="0" footer="0"/>
  <pageSetup scale="63" orientation="portrait" horizontalDpi="360" verticalDpi="36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"/>
  <sheetViews>
    <sheetView topLeftCell="A25" zoomScaleNormal="100" workbookViewId="0">
      <selection activeCell="D64" sqref="D64"/>
    </sheetView>
  </sheetViews>
  <sheetFormatPr defaultColWidth="8.88671875" defaultRowHeight="14.4"/>
  <cols>
    <col min="1" max="3" width="15.109375" style="127" customWidth="1"/>
    <col min="4" max="4" width="10.109375" style="62" customWidth="1"/>
    <col min="5" max="5" width="8.44140625" style="62" customWidth="1"/>
    <col min="6" max="6" width="6.6640625" style="62" customWidth="1"/>
    <col min="7" max="7" width="11.88671875" style="62" customWidth="1"/>
    <col min="8" max="8" width="5.6640625" style="62" customWidth="1"/>
    <col min="9" max="9" width="4.33203125" style="62" customWidth="1"/>
    <col min="10" max="10" width="10" style="62" customWidth="1"/>
    <col min="11" max="11" width="5.6640625" style="62" customWidth="1"/>
    <col min="12" max="12" width="7.88671875" style="62" customWidth="1"/>
    <col min="13" max="13" width="19.44140625" style="30" customWidth="1"/>
    <col min="14" max="14" width="15.6640625" style="30" customWidth="1"/>
    <col min="15" max="15" width="9.33203125" style="30" customWidth="1"/>
    <col min="16" max="16" width="12.109375" style="30" customWidth="1"/>
    <col min="17" max="17" width="4.88671875" style="30" customWidth="1"/>
    <col min="18" max="18" width="5.44140625" style="30" customWidth="1"/>
    <col min="19" max="19" width="4.33203125" style="30" customWidth="1"/>
    <col min="20" max="20" width="7.33203125" style="30" customWidth="1"/>
    <col min="21" max="21" width="11.109375" style="30" customWidth="1"/>
    <col min="22" max="22" width="10.44140625" style="62" customWidth="1"/>
    <col min="23" max="16384" width="8.88671875" style="62"/>
  </cols>
  <sheetData>
    <row r="1" spans="1:21" ht="14.1" customHeight="1" thickBot="1">
      <c r="A1" s="418" t="s">
        <v>0</v>
      </c>
      <c r="B1" s="419"/>
      <c r="C1" s="419"/>
      <c r="D1" s="419"/>
      <c r="E1" s="419"/>
      <c r="F1" s="419"/>
      <c r="G1" s="419"/>
      <c r="H1" s="419"/>
      <c r="I1" s="419"/>
      <c r="J1" s="419"/>
      <c r="K1" s="419"/>
      <c r="L1" s="420"/>
      <c r="M1" s="420"/>
      <c r="N1" s="420"/>
      <c r="O1" s="420"/>
      <c r="P1" s="420"/>
      <c r="Q1" s="420"/>
      <c r="R1" s="420"/>
      <c r="S1" s="420"/>
      <c r="T1" s="420"/>
      <c r="U1" s="421"/>
    </row>
    <row r="2" spans="1:21" ht="14.1" customHeight="1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4" t="s">
        <v>2</v>
      </c>
      <c r="M2" s="5"/>
      <c r="N2" s="6" t="s">
        <v>3</v>
      </c>
      <c r="O2" s="422"/>
      <c r="P2" s="423"/>
      <c r="Q2" s="423"/>
      <c r="R2" s="423"/>
      <c r="S2" s="423"/>
      <c r="T2" s="423"/>
      <c r="U2" s="424"/>
    </row>
    <row r="3" spans="1:21" ht="14.1" customHeight="1" thickBot="1">
      <c r="A3" s="7" t="s">
        <v>4</v>
      </c>
      <c r="B3" s="8"/>
      <c r="C3" s="8"/>
      <c r="D3" s="8"/>
      <c r="E3" s="8"/>
      <c r="F3" s="8"/>
      <c r="G3" s="8"/>
      <c r="H3" s="8"/>
      <c r="I3" s="8"/>
      <c r="J3" s="8"/>
      <c r="K3" s="9"/>
      <c r="L3" s="10" t="s">
        <v>149</v>
      </c>
      <c r="M3" s="11"/>
      <c r="N3" s="12" t="s">
        <v>5</v>
      </c>
      <c r="O3" s="13"/>
      <c r="P3" s="13"/>
      <c r="Q3" s="13"/>
      <c r="R3" s="13"/>
      <c r="S3" s="13"/>
      <c r="T3" s="13"/>
      <c r="U3" s="14"/>
    </row>
    <row r="4" spans="1:21" ht="14.1" customHeight="1">
      <c r="A4" s="7" t="s">
        <v>6</v>
      </c>
      <c r="B4" s="8"/>
      <c r="C4" s="8"/>
      <c r="D4" s="8"/>
      <c r="E4" s="8"/>
      <c r="F4" s="8"/>
      <c r="G4" s="8"/>
      <c r="H4" s="8"/>
      <c r="I4" s="8"/>
      <c r="J4" s="8"/>
      <c r="K4" s="9"/>
      <c r="L4" s="15" t="s">
        <v>7</v>
      </c>
      <c r="M4" s="15"/>
      <c r="N4" s="16"/>
      <c r="O4" s="16"/>
      <c r="P4" s="16"/>
      <c r="Q4" s="16"/>
      <c r="R4" s="16"/>
      <c r="S4" s="16"/>
      <c r="T4" s="16"/>
      <c r="U4" s="17"/>
    </row>
    <row r="5" spans="1:21" ht="14.1" customHeight="1" thickBot="1">
      <c r="A5" s="18" t="s">
        <v>8</v>
      </c>
      <c r="B5" s="19"/>
      <c r="C5" s="19"/>
      <c r="D5" s="19"/>
      <c r="E5" s="19"/>
      <c r="F5" s="19"/>
      <c r="G5" s="19"/>
      <c r="H5" s="19"/>
      <c r="I5" s="19"/>
      <c r="J5" s="19"/>
      <c r="K5" s="20"/>
      <c r="L5" s="21" t="s">
        <v>150</v>
      </c>
      <c r="M5" s="22"/>
      <c r="N5" s="22"/>
      <c r="O5" s="22"/>
      <c r="P5" s="22"/>
      <c r="Q5" s="22"/>
      <c r="R5" s="22"/>
      <c r="S5" s="22"/>
      <c r="T5" s="22"/>
      <c r="U5" s="23"/>
    </row>
    <row r="6" spans="1:21" ht="14.1" customHeight="1">
      <c r="A6" s="7" t="s">
        <v>9</v>
      </c>
      <c r="B6" s="8"/>
      <c r="C6" s="8"/>
      <c r="D6" s="8"/>
      <c r="E6" s="8"/>
      <c r="F6" s="8"/>
      <c r="G6" s="8"/>
      <c r="H6" s="8"/>
      <c r="I6" s="8"/>
      <c r="J6" s="8"/>
      <c r="K6" s="8"/>
      <c r="L6" s="24" t="s">
        <v>10</v>
      </c>
      <c r="M6" s="25"/>
      <c r="N6" s="26"/>
      <c r="O6" s="26"/>
      <c r="P6" s="26"/>
      <c r="Q6" s="26"/>
      <c r="R6" s="26"/>
      <c r="S6" s="26"/>
      <c r="T6" s="26"/>
      <c r="U6" s="27"/>
    </row>
    <row r="7" spans="1:21" ht="14.1" customHeight="1">
      <c r="A7" s="7" t="s">
        <v>11</v>
      </c>
      <c r="B7" s="8"/>
      <c r="C7" s="8"/>
      <c r="D7" s="8"/>
      <c r="E7" s="8"/>
      <c r="F7" s="8"/>
      <c r="G7" s="8"/>
      <c r="H7" s="8"/>
      <c r="I7" s="8"/>
      <c r="J7" s="8"/>
      <c r="K7" s="8"/>
      <c r="L7" s="28" t="s">
        <v>12</v>
      </c>
      <c r="M7" s="29"/>
      <c r="N7" s="29"/>
      <c r="U7" s="31"/>
    </row>
    <row r="8" spans="1:21" ht="14.1" customHeight="1">
      <c r="A8" s="32" t="s">
        <v>13</v>
      </c>
      <c r="B8" s="33"/>
      <c r="C8" s="33"/>
      <c r="D8" s="8"/>
      <c r="E8" s="8"/>
      <c r="F8" s="8"/>
      <c r="G8" s="8"/>
      <c r="H8" s="8"/>
      <c r="I8" s="8"/>
      <c r="J8" s="8"/>
      <c r="K8" s="8"/>
      <c r="L8" s="28"/>
      <c r="M8" s="29"/>
      <c r="N8" s="29"/>
      <c r="U8" s="31"/>
    </row>
    <row r="9" spans="1:21" ht="14.1" customHeight="1" thickBot="1">
      <c r="A9" s="34" t="s">
        <v>14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  <c r="M9" s="37"/>
      <c r="N9" s="37"/>
      <c r="O9" s="38"/>
      <c r="P9" s="38"/>
      <c r="Q9" s="38"/>
      <c r="R9" s="38"/>
      <c r="S9" s="38"/>
      <c r="T9" s="38"/>
      <c r="U9" s="39"/>
    </row>
    <row r="10" spans="1:21" ht="15" customHeight="1" thickBot="1">
      <c r="A10" s="40" t="s">
        <v>15</v>
      </c>
      <c r="B10" s="41"/>
      <c r="C10" s="41"/>
      <c r="D10" s="42"/>
      <c r="E10" s="42"/>
      <c r="F10" s="42"/>
      <c r="G10" s="42"/>
      <c r="H10" s="42"/>
      <c r="I10" s="42"/>
      <c r="J10" s="42"/>
      <c r="K10" s="43"/>
      <c r="L10" s="44" t="s">
        <v>16</v>
      </c>
      <c r="M10" s="45"/>
      <c r="N10" s="45"/>
      <c r="O10" s="45"/>
      <c r="P10" s="45"/>
      <c r="Q10" s="45"/>
      <c r="R10" s="45"/>
      <c r="S10" s="45"/>
      <c r="T10" s="45"/>
      <c r="U10" s="46"/>
    </row>
    <row r="11" spans="1:21" ht="15" customHeight="1">
      <c r="A11" s="425" t="s">
        <v>17</v>
      </c>
      <c r="B11" s="426"/>
      <c r="C11" s="426"/>
      <c r="D11" s="426"/>
      <c r="E11" s="47"/>
      <c r="F11" s="48"/>
      <c r="G11" s="48"/>
      <c r="H11" s="48"/>
      <c r="I11" s="49"/>
      <c r="J11" s="49"/>
      <c r="K11" s="50"/>
      <c r="L11" s="427" t="s">
        <v>17</v>
      </c>
      <c r="M11" s="428"/>
      <c r="N11" s="428"/>
      <c r="O11" s="51"/>
      <c r="P11" s="52"/>
      <c r="Q11" s="52"/>
      <c r="R11" s="52"/>
      <c r="S11" s="53"/>
      <c r="T11" s="53"/>
      <c r="U11" s="54"/>
    </row>
    <row r="12" spans="1:21" ht="15" customHeight="1">
      <c r="A12" s="429" t="s">
        <v>18</v>
      </c>
      <c r="B12" s="430"/>
      <c r="C12" s="430"/>
      <c r="D12" s="430"/>
      <c r="E12" s="55"/>
      <c r="F12" s="56"/>
      <c r="G12" s="56"/>
      <c r="H12" s="56"/>
      <c r="I12" s="56"/>
      <c r="J12" s="56"/>
      <c r="K12" s="50"/>
      <c r="L12" s="429" t="s">
        <v>18</v>
      </c>
      <c r="M12" s="430"/>
      <c r="N12" s="430"/>
      <c r="O12" s="55"/>
      <c r="P12" s="56"/>
      <c r="Q12" s="56"/>
      <c r="R12" s="56"/>
      <c r="S12" s="56"/>
      <c r="T12" s="56"/>
      <c r="U12" s="57"/>
    </row>
    <row r="13" spans="1:21" ht="15" customHeight="1">
      <c r="A13" s="384" t="s">
        <v>19</v>
      </c>
      <c r="B13" s="385"/>
      <c r="C13" s="385"/>
      <c r="D13" s="385"/>
      <c r="E13" s="58"/>
      <c r="F13" s="59"/>
      <c r="G13" s="59"/>
      <c r="H13" s="59"/>
      <c r="I13" s="60"/>
      <c r="J13" s="61"/>
      <c r="L13" s="384" t="s">
        <v>19</v>
      </c>
      <c r="M13" s="385"/>
      <c r="N13" s="385"/>
      <c r="O13" s="58"/>
      <c r="P13" s="59"/>
      <c r="Q13" s="59"/>
      <c r="R13" s="59"/>
      <c r="S13" s="60"/>
      <c r="T13" s="60"/>
      <c r="U13" s="63"/>
    </row>
    <row r="14" spans="1:21" ht="15" customHeight="1" thickBot="1">
      <c r="A14" s="386" t="s">
        <v>20</v>
      </c>
      <c r="B14" s="387"/>
      <c r="C14" s="387"/>
      <c r="D14" s="387"/>
      <c r="E14" s="64"/>
      <c r="F14" s="59"/>
      <c r="G14" s="59"/>
      <c r="H14" s="59"/>
      <c r="I14" s="60"/>
      <c r="J14" s="61"/>
      <c r="K14" s="65"/>
      <c r="L14" s="388" t="s">
        <v>21</v>
      </c>
      <c r="M14" s="389"/>
      <c r="N14" s="389"/>
      <c r="O14" s="389"/>
      <c r="P14" s="389"/>
      <c r="Q14" s="66"/>
      <c r="R14" s="66"/>
      <c r="S14" s="67"/>
      <c r="T14" s="67"/>
      <c r="U14" s="68"/>
    </row>
    <row r="15" spans="1:21" ht="18.75" customHeight="1">
      <c r="A15" s="69" t="s">
        <v>22</v>
      </c>
      <c r="B15" s="70"/>
      <c r="C15" s="71"/>
      <c r="D15" s="72"/>
      <c r="E15" s="73"/>
      <c r="F15" s="73"/>
      <c r="G15" s="73"/>
      <c r="H15" s="73"/>
      <c r="I15" s="73"/>
      <c r="J15" s="73"/>
      <c r="K15" s="74"/>
      <c r="L15" s="75" t="s">
        <v>23</v>
      </c>
      <c r="M15" s="76"/>
      <c r="N15" s="77" t="s">
        <v>24</v>
      </c>
      <c r="O15" s="78"/>
      <c r="P15" s="78"/>
      <c r="Q15" s="78"/>
      <c r="R15" s="78"/>
      <c r="S15" s="78"/>
      <c r="T15" s="78"/>
      <c r="U15" s="79"/>
    </row>
    <row r="16" spans="1:21" ht="14.25" customHeight="1" thickBot="1">
      <c r="A16" s="80"/>
      <c r="B16" s="81"/>
      <c r="C16" s="81"/>
      <c r="D16" s="82"/>
      <c r="E16" s="82"/>
      <c r="F16" s="82"/>
      <c r="G16" s="82"/>
      <c r="H16" s="82"/>
      <c r="I16" s="82"/>
      <c r="J16" s="82"/>
      <c r="K16" s="83"/>
      <c r="L16" s="35" t="s">
        <v>11</v>
      </c>
      <c r="M16" s="37"/>
      <c r="N16" s="84" t="s">
        <v>25</v>
      </c>
      <c r="O16" s="85"/>
      <c r="P16" s="85"/>
      <c r="Q16" s="85"/>
      <c r="R16" s="85"/>
      <c r="S16" s="85"/>
      <c r="T16" s="85"/>
      <c r="U16" s="86"/>
    </row>
    <row r="17" spans="1:23" ht="14.1" customHeight="1" thickBot="1">
      <c r="A17" s="87" t="s">
        <v>26</v>
      </c>
      <c r="B17" s="88"/>
      <c r="C17" s="88"/>
      <c r="D17" s="89"/>
      <c r="E17" s="90" t="s">
        <v>27</v>
      </c>
      <c r="F17" s="88"/>
      <c r="G17" s="88"/>
      <c r="H17" s="91"/>
      <c r="I17" s="91"/>
      <c r="J17" s="91"/>
      <c r="K17" s="89"/>
      <c r="L17" s="92" t="s">
        <v>28</v>
      </c>
      <c r="M17" s="93"/>
      <c r="N17" s="94"/>
      <c r="O17" s="94"/>
      <c r="P17" s="94"/>
      <c r="Q17" s="94"/>
      <c r="R17" s="94"/>
      <c r="S17" s="94"/>
      <c r="T17" s="94"/>
      <c r="U17" s="95"/>
    </row>
    <row r="18" spans="1:23" ht="14.1" customHeight="1" thickBot="1">
      <c r="A18" s="96" t="s">
        <v>29</v>
      </c>
      <c r="B18" s="97"/>
      <c r="C18" s="97"/>
      <c r="D18" s="98"/>
      <c r="E18" s="99" t="s">
        <v>30</v>
      </c>
      <c r="F18" s="100"/>
      <c r="G18" s="101"/>
      <c r="H18" s="101"/>
      <c r="I18" s="101"/>
      <c r="J18" s="101"/>
      <c r="K18" s="101"/>
      <c r="L18" s="390" t="s">
        <v>31</v>
      </c>
      <c r="M18" s="391"/>
      <c r="N18" s="391"/>
      <c r="O18" s="391"/>
      <c r="P18" s="391"/>
      <c r="Q18" s="391"/>
      <c r="R18" s="391"/>
      <c r="S18" s="391"/>
      <c r="T18" s="391"/>
      <c r="U18" s="392"/>
    </row>
    <row r="19" spans="1:23" ht="14.1" customHeight="1">
      <c r="A19" s="102" t="s">
        <v>32</v>
      </c>
      <c r="B19" s="103"/>
      <c r="C19" s="103"/>
      <c r="D19" s="104"/>
      <c r="E19" s="102" t="s">
        <v>33</v>
      </c>
      <c r="F19" s="105"/>
      <c r="G19" s="103"/>
      <c r="H19" s="103"/>
      <c r="I19" s="103"/>
      <c r="J19" s="103"/>
      <c r="K19" s="103"/>
      <c r="L19" s="393"/>
      <c r="M19" s="394"/>
      <c r="N19" s="394"/>
      <c r="O19" s="394"/>
      <c r="P19" s="394"/>
      <c r="Q19" s="394"/>
      <c r="R19" s="394"/>
      <c r="S19" s="394"/>
      <c r="T19" s="394"/>
      <c r="U19" s="395"/>
    </row>
    <row r="20" spans="1:23" ht="14.1" customHeight="1" thickBot="1">
      <c r="A20" s="99" t="s">
        <v>34</v>
      </c>
      <c r="B20" s="101"/>
      <c r="C20" s="101"/>
      <c r="D20" s="98"/>
      <c r="E20" s="99" t="s">
        <v>30</v>
      </c>
      <c r="F20" s="101"/>
      <c r="G20" s="101"/>
      <c r="H20" s="101"/>
      <c r="I20" s="101"/>
      <c r="J20" s="101"/>
      <c r="K20" s="101"/>
      <c r="L20" s="393"/>
      <c r="M20" s="394"/>
      <c r="N20" s="394"/>
      <c r="O20" s="394"/>
      <c r="P20" s="394"/>
      <c r="Q20" s="394"/>
      <c r="R20" s="394"/>
      <c r="S20" s="394"/>
      <c r="T20" s="394"/>
      <c r="U20" s="395"/>
    </row>
    <row r="21" spans="1:23" ht="16.5" customHeight="1" thickBot="1">
      <c r="A21" s="106" t="s">
        <v>35</v>
      </c>
      <c r="B21" s="107"/>
      <c r="C21" s="107"/>
      <c r="D21" s="108"/>
      <c r="E21" s="106" t="s">
        <v>36</v>
      </c>
      <c r="F21" s="109"/>
      <c r="G21" s="107"/>
      <c r="H21" s="107"/>
      <c r="I21" s="107"/>
      <c r="J21" s="107"/>
      <c r="K21" s="108"/>
      <c r="L21" s="393"/>
      <c r="M21" s="394"/>
      <c r="N21" s="394"/>
      <c r="O21" s="394"/>
      <c r="P21" s="394"/>
      <c r="Q21" s="394"/>
      <c r="R21" s="394"/>
      <c r="S21" s="394"/>
      <c r="T21" s="394"/>
      <c r="U21" s="395"/>
    </row>
    <row r="22" spans="1:23" ht="14.1" customHeight="1" thickBot="1">
      <c r="A22" s="110" t="s">
        <v>37</v>
      </c>
      <c r="B22" s="111"/>
      <c r="C22" s="111" t="s">
        <v>34</v>
      </c>
      <c r="D22" s="111"/>
      <c r="E22" s="111"/>
      <c r="F22" s="396" t="s">
        <v>25</v>
      </c>
      <c r="G22" s="397"/>
      <c r="H22" s="112"/>
      <c r="I22" s="112"/>
      <c r="J22" s="112"/>
      <c r="K22" s="112"/>
      <c r="L22" s="393"/>
      <c r="M22" s="394"/>
      <c r="N22" s="394"/>
      <c r="O22" s="394"/>
      <c r="P22" s="394"/>
      <c r="Q22" s="394"/>
      <c r="R22" s="394"/>
      <c r="S22" s="394"/>
      <c r="T22" s="394"/>
      <c r="U22" s="395"/>
    </row>
    <row r="23" spans="1:23" ht="27.75" customHeight="1" thickBot="1">
      <c r="A23" s="398" t="s">
        <v>150</v>
      </c>
      <c r="B23" s="399"/>
      <c r="C23" s="399"/>
      <c r="D23" s="399"/>
      <c r="E23" s="399"/>
      <c r="F23" s="399"/>
      <c r="G23" s="399"/>
      <c r="H23" s="399"/>
      <c r="I23" s="399"/>
      <c r="J23" s="399"/>
      <c r="K23" s="400"/>
      <c r="L23" s="398" t="s">
        <v>139</v>
      </c>
      <c r="M23" s="399"/>
      <c r="N23" s="399"/>
      <c r="O23" s="399"/>
      <c r="P23" s="399"/>
      <c r="Q23" s="399"/>
      <c r="R23" s="399"/>
      <c r="S23" s="399"/>
      <c r="T23" s="399"/>
      <c r="U23" s="400"/>
    </row>
    <row r="24" spans="1:23" ht="16.5" customHeight="1" thickBot="1">
      <c r="A24" s="113" t="s">
        <v>148</v>
      </c>
      <c r="B24" s="113"/>
      <c r="C24" s="113"/>
      <c r="D24" s="401" t="s">
        <v>147</v>
      </c>
      <c r="E24" s="402"/>
      <c r="F24" s="402"/>
      <c r="G24" s="402"/>
      <c r="H24" s="402"/>
      <c r="I24" s="402"/>
      <c r="J24" s="402"/>
      <c r="K24" s="402"/>
      <c r="L24" s="402"/>
      <c r="M24" s="402"/>
      <c r="N24" s="402"/>
      <c r="O24" s="402"/>
      <c r="P24" s="402"/>
      <c r="Q24" s="402"/>
      <c r="R24" s="402"/>
      <c r="S24" s="402"/>
      <c r="T24" s="402"/>
      <c r="U24" s="403"/>
    </row>
    <row r="25" spans="1:23" ht="24" customHeight="1" thickBot="1">
      <c r="A25" s="404" t="s">
        <v>38</v>
      </c>
      <c r="B25" s="404" t="s">
        <v>39</v>
      </c>
      <c r="C25" s="404" t="s">
        <v>40</v>
      </c>
      <c r="D25" s="406" t="s">
        <v>41</v>
      </c>
      <c r="E25" s="407"/>
      <c r="F25" s="406" t="s">
        <v>42</v>
      </c>
      <c r="G25" s="410"/>
      <c r="H25" s="407"/>
      <c r="I25" s="412" t="s">
        <v>43</v>
      </c>
      <c r="J25" s="413"/>
      <c r="K25" s="414"/>
      <c r="L25" s="114" t="s">
        <v>44</v>
      </c>
      <c r="M25" s="115" t="s">
        <v>45</v>
      </c>
      <c r="N25" s="115" t="s">
        <v>44</v>
      </c>
      <c r="O25" s="116" t="s">
        <v>46</v>
      </c>
      <c r="P25" s="117" t="s">
        <v>47</v>
      </c>
      <c r="Q25" s="118" t="s">
        <v>48</v>
      </c>
      <c r="R25" s="118"/>
      <c r="S25" s="119"/>
      <c r="T25" s="120" t="s">
        <v>46</v>
      </c>
      <c r="U25" s="121" t="s">
        <v>49</v>
      </c>
    </row>
    <row r="26" spans="1:23" ht="24" customHeight="1" thickBot="1">
      <c r="A26" s="405"/>
      <c r="B26" s="405"/>
      <c r="C26" s="405"/>
      <c r="D26" s="408"/>
      <c r="E26" s="409"/>
      <c r="F26" s="408"/>
      <c r="G26" s="411"/>
      <c r="H26" s="409"/>
      <c r="I26" s="415"/>
      <c r="J26" s="416"/>
      <c r="K26" s="417"/>
      <c r="L26" s="122" t="s">
        <v>50</v>
      </c>
      <c r="M26" s="123" t="s">
        <v>51</v>
      </c>
      <c r="N26" s="123" t="s">
        <v>45</v>
      </c>
      <c r="O26" s="124" t="s">
        <v>52</v>
      </c>
      <c r="P26" s="117" t="s">
        <v>53</v>
      </c>
      <c r="Q26" s="125" t="s">
        <v>54</v>
      </c>
      <c r="R26" s="126" t="s">
        <v>55</v>
      </c>
      <c r="S26" s="126" t="s">
        <v>56</v>
      </c>
      <c r="T26" s="120" t="s">
        <v>57</v>
      </c>
      <c r="U26" s="225" t="s">
        <v>57</v>
      </c>
      <c r="W26"/>
    </row>
    <row r="27" spans="1:23" ht="14.1" customHeight="1">
      <c r="A27" s="217" t="s">
        <v>84</v>
      </c>
      <c r="B27" s="350">
        <v>196316</v>
      </c>
      <c r="C27" s="325" t="s">
        <v>127</v>
      </c>
      <c r="D27" s="351" t="s">
        <v>85</v>
      </c>
      <c r="E27" s="351"/>
      <c r="F27" s="158">
        <v>1</v>
      </c>
      <c r="G27" s="159" t="s">
        <v>59</v>
      </c>
      <c r="H27" s="158">
        <f>J27+F27-1</f>
        <v>49</v>
      </c>
      <c r="I27" s="158" t="s">
        <v>60</v>
      </c>
      <c r="J27" s="158">
        <f>L27/F28</f>
        <v>49</v>
      </c>
      <c r="K27" s="160" t="s">
        <v>61</v>
      </c>
      <c r="L27" s="129">
        <v>49</v>
      </c>
      <c r="M27" s="130">
        <v>3.7</v>
      </c>
      <c r="N27" s="131">
        <f>M27*L27</f>
        <v>181.3</v>
      </c>
      <c r="O27" s="130">
        <v>5.0999999999999996</v>
      </c>
      <c r="P27" s="131">
        <f>O27*J27</f>
        <v>249.89999999999998</v>
      </c>
      <c r="Q27" s="133">
        <v>33</v>
      </c>
      <c r="R27" s="134">
        <v>33</v>
      </c>
      <c r="S27" s="135">
        <v>58</v>
      </c>
      <c r="T27" s="131">
        <f>Q27*R27*S27/1000000</f>
        <v>6.3161999999999996E-2</v>
      </c>
      <c r="U27" s="132">
        <f>T27*J27</f>
        <v>3.094938</v>
      </c>
    </row>
    <row r="28" spans="1:23" ht="14.1" customHeight="1">
      <c r="A28" s="328"/>
      <c r="B28" s="374"/>
      <c r="C28" s="137"/>
      <c r="D28" s="368"/>
      <c r="E28" s="368"/>
      <c r="F28" s="127">
        <v>1</v>
      </c>
      <c r="G28" s="62" t="s">
        <v>62</v>
      </c>
      <c r="H28" s="127"/>
      <c r="I28" s="127"/>
      <c r="J28" s="127"/>
      <c r="K28" s="128"/>
      <c r="L28" s="138"/>
      <c r="M28" s="140" t="s">
        <v>63</v>
      </c>
      <c r="N28" s="139" t="str">
        <f>M28</f>
        <v>Mango Wood</v>
      </c>
      <c r="O28" s="140"/>
      <c r="P28" s="139"/>
      <c r="Q28" s="140"/>
      <c r="R28" s="139"/>
      <c r="S28" s="141"/>
      <c r="T28" s="142"/>
      <c r="U28" s="142"/>
    </row>
    <row r="29" spans="1:23" ht="14.1" customHeight="1" thickBot="1">
      <c r="A29" s="329"/>
      <c r="B29" s="330"/>
      <c r="C29" s="149"/>
      <c r="D29" s="150"/>
      <c r="E29" s="150"/>
      <c r="F29" s="151"/>
      <c r="G29" s="152"/>
      <c r="H29" s="151"/>
      <c r="I29" s="151"/>
      <c r="J29" s="151"/>
      <c r="K29" s="153"/>
      <c r="L29" s="218"/>
      <c r="M29" s="219"/>
      <c r="N29" s="156"/>
      <c r="O29" s="219"/>
      <c r="P29" s="156"/>
      <c r="Q29" s="220"/>
      <c r="R29" s="221"/>
      <c r="S29" s="222"/>
      <c r="T29" s="156"/>
      <c r="U29" s="223"/>
    </row>
    <row r="30" spans="1:23" ht="14.1" customHeight="1">
      <c r="A30" s="345" t="s">
        <v>129</v>
      </c>
      <c r="B30" s="346">
        <v>509372</v>
      </c>
      <c r="C30" s="157">
        <v>196304</v>
      </c>
      <c r="D30" s="378" t="s">
        <v>58</v>
      </c>
      <c r="E30" s="378"/>
      <c r="F30" s="158">
        <f>H27+1</f>
        <v>50</v>
      </c>
      <c r="G30" s="159" t="s">
        <v>59</v>
      </c>
      <c r="H30" s="158">
        <f>H27+J30</f>
        <v>129</v>
      </c>
      <c r="I30" s="158" t="s">
        <v>60</v>
      </c>
      <c r="J30" s="158">
        <f>L30/F31</f>
        <v>80</v>
      </c>
      <c r="K30" s="160" t="s">
        <v>61</v>
      </c>
      <c r="L30" s="129">
        <v>80</v>
      </c>
      <c r="M30" s="130">
        <v>7.87</v>
      </c>
      <c r="N30" s="131">
        <f>M30*J30</f>
        <v>629.6</v>
      </c>
      <c r="O30" s="224">
        <v>11.83</v>
      </c>
      <c r="P30" s="132">
        <f>O30*J30</f>
        <v>946.4</v>
      </c>
      <c r="Q30" s="133">
        <v>58</v>
      </c>
      <c r="R30" s="134">
        <v>40</v>
      </c>
      <c r="S30" s="135">
        <v>58</v>
      </c>
      <c r="T30" s="131">
        <f>Q30*R30*S30/1000000</f>
        <v>0.13456000000000001</v>
      </c>
      <c r="U30" s="132">
        <f>T30*L30</f>
        <v>10.764800000000001</v>
      </c>
    </row>
    <row r="31" spans="1:23" ht="14.1" customHeight="1">
      <c r="A31" s="136"/>
      <c r="B31" s="137"/>
      <c r="C31"/>
      <c r="D31" s="379"/>
      <c r="E31" s="379"/>
      <c r="F31" s="127">
        <v>1</v>
      </c>
      <c r="G31" s="62" t="s">
        <v>62</v>
      </c>
      <c r="H31" s="127"/>
      <c r="I31" s="127"/>
      <c r="J31" s="127"/>
      <c r="K31" s="128"/>
      <c r="L31" s="138"/>
      <c r="M31" s="140" t="s">
        <v>65</v>
      </c>
      <c r="N31" s="139" t="str">
        <f>M31</f>
        <v>Iron</v>
      </c>
      <c r="O31" s="141"/>
      <c r="P31" s="139"/>
      <c r="Q31" s="140"/>
      <c r="R31" s="139"/>
      <c r="S31" s="141"/>
      <c r="T31" s="142"/>
      <c r="U31" s="142"/>
    </row>
    <row r="32" spans="1:23" ht="14.1" customHeight="1" thickBot="1">
      <c r="A32" s="148"/>
      <c r="B32" s="149"/>
      <c r="C32" s="149"/>
      <c r="D32" s="150"/>
      <c r="E32" s="150"/>
      <c r="F32" s="151"/>
      <c r="G32" s="152"/>
      <c r="H32" s="151"/>
      <c r="I32" s="151"/>
      <c r="J32" s="151"/>
      <c r="K32" s="153"/>
      <c r="L32" s="218"/>
      <c r="M32" s="219"/>
      <c r="N32" s="156"/>
      <c r="O32" s="156"/>
      <c r="P32" s="156"/>
      <c r="Q32" s="219"/>
      <c r="R32" s="347"/>
      <c r="S32" s="347"/>
      <c r="T32" s="348"/>
      <c r="U32" s="348"/>
    </row>
    <row r="33" spans="1:21" ht="14.1" customHeight="1">
      <c r="A33" s="227" t="s">
        <v>125</v>
      </c>
      <c r="B33" s="228">
        <v>218529</v>
      </c>
      <c r="C33" s="157">
        <v>619462</v>
      </c>
      <c r="D33" s="378" t="s">
        <v>64</v>
      </c>
      <c r="E33" s="378"/>
      <c r="F33" s="158">
        <f>H30+1</f>
        <v>130</v>
      </c>
      <c r="G33" s="159" t="s">
        <v>59</v>
      </c>
      <c r="H33" s="158">
        <f>H30+J33</f>
        <v>229</v>
      </c>
      <c r="I33" s="158" t="s">
        <v>60</v>
      </c>
      <c r="J33" s="158">
        <f>L33/F34</f>
        <v>100</v>
      </c>
      <c r="K33" s="160" t="s">
        <v>61</v>
      </c>
      <c r="L33" s="129">
        <v>100</v>
      </c>
      <c r="M33" s="130">
        <v>6.66</v>
      </c>
      <c r="N33" s="131">
        <f>M33*J33</f>
        <v>666</v>
      </c>
      <c r="O33" s="224">
        <v>9.0399999999999991</v>
      </c>
      <c r="P33" s="132">
        <f>O33*J33</f>
        <v>903.99999999999989</v>
      </c>
      <c r="Q33" s="133">
        <v>45</v>
      </c>
      <c r="R33" s="134">
        <v>45</v>
      </c>
      <c r="S33" s="135">
        <v>62</v>
      </c>
      <c r="T33" s="131">
        <f>Q33*R33*S33/1000000</f>
        <v>0.12554999999999999</v>
      </c>
      <c r="U33" s="132">
        <f>T33*L33</f>
        <v>12.555</v>
      </c>
    </row>
    <row r="34" spans="1:21" ht="14.1" customHeight="1">
      <c r="A34" s="136"/>
      <c r="B34" s="137"/>
      <c r="C34"/>
      <c r="D34" s="379"/>
      <c r="E34" s="379"/>
      <c r="F34" s="127">
        <v>1</v>
      </c>
      <c r="G34" s="62" t="s">
        <v>62</v>
      </c>
      <c r="H34" s="127"/>
      <c r="I34" s="127"/>
      <c r="J34" s="127"/>
      <c r="K34" s="128"/>
      <c r="L34" s="138"/>
      <c r="M34" s="140" t="s">
        <v>128</v>
      </c>
      <c r="N34" s="139" t="str">
        <f>M34</f>
        <v>S.STEEL</v>
      </c>
      <c r="O34" s="141"/>
      <c r="P34" s="139"/>
      <c r="Q34" s="140"/>
      <c r="R34" s="139"/>
      <c r="S34" s="141"/>
      <c r="T34" s="142"/>
      <c r="U34" s="142"/>
    </row>
    <row r="35" spans="1:21" ht="14.1" customHeight="1">
      <c r="A35" s="136"/>
      <c r="B35" s="137"/>
      <c r="C35" s="137"/>
      <c r="D35" s="146"/>
      <c r="E35" s="146"/>
      <c r="F35" s="127"/>
      <c r="H35" s="127"/>
      <c r="I35" s="127"/>
      <c r="J35" s="127"/>
      <c r="K35" s="128"/>
      <c r="L35" s="138"/>
      <c r="M35" s="140"/>
      <c r="N35" s="139"/>
      <c r="O35" s="141"/>
      <c r="P35" s="139"/>
      <c r="Q35" s="154"/>
      <c r="R35" s="143"/>
      <c r="S35" s="155"/>
      <c r="T35" s="139"/>
      <c r="U35" s="144"/>
    </row>
    <row r="36" spans="1:21" ht="14.1" customHeight="1" thickBot="1">
      <c r="A36" s="148"/>
      <c r="B36" s="149"/>
      <c r="C36" s="149"/>
      <c r="D36" s="150"/>
      <c r="E36" s="150"/>
      <c r="F36" s="151"/>
      <c r="G36" s="152"/>
      <c r="H36" s="151"/>
      <c r="I36" s="151"/>
      <c r="J36" s="151"/>
      <c r="K36" s="226"/>
      <c r="L36" s="218"/>
      <c r="M36" s="219"/>
      <c r="N36" s="156"/>
      <c r="O36" s="219"/>
      <c r="P36" s="156"/>
      <c r="Q36" s="220"/>
      <c r="R36" s="221"/>
      <c r="S36" s="222"/>
      <c r="T36" s="156"/>
      <c r="U36" s="223"/>
    </row>
    <row r="37" spans="1:21" ht="14.1" customHeight="1">
      <c r="A37" s="217" t="s">
        <v>86</v>
      </c>
      <c r="B37" s="331">
        <v>196310</v>
      </c>
      <c r="C37" s="229" t="s">
        <v>133</v>
      </c>
      <c r="D37" s="378" t="s">
        <v>82</v>
      </c>
      <c r="E37" s="378"/>
      <c r="F37" s="158">
        <f>H33+1</f>
        <v>230</v>
      </c>
      <c r="G37" s="159" t="s">
        <v>59</v>
      </c>
      <c r="H37" s="158">
        <f>J37+F37-1</f>
        <v>268</v>
      </c>
      <c r="I37" s="158" t="s">
        <v>60</v>
      </c>
      <c r="J37" s="158">
        <f>L37/F38</f>
        <v>39</v>
      </c>
      <c r="K37" s="160" t="s">
        <v>61</v>
      </c>
      <c r="L37" s="129">
        <v>39</v>
      </c>
      <c r="M37" s="130">
        <v>6</v>
      </c>
      <c r="N37" s="131">
        <f>M37*J37</f>
        <v>234</v>
      </c>
      <c r="O37" s="130">
        <v>8.84</v>
      </c>
      <c r="P37" s="132">
        <f>O37*J37</f>
        <v>344.76</v>
      </c>
      <c r="Q37" s="133">
        <v>88</v>
      </c>
      <c r="R37" s="134">
        <v>9</v>
      </c>
      <c r="S37" s="135">
        <v>90</v>
      </c>
      <c r="T37" s="131">
        <f>Q37*R37*S37/1000000</f>
        <v>7.1279999999999996E-2</v>
      </c>
      <c r="U37" s="132">
        <f>T37*L37</f>
        <v>2.7799199999999997</v>
      </c>
    </row>
    <row r="38" spans="1:21" ht="14.1" customHeight="1" thickBot="1">
      <c r="A38" s="148"/>
      <c r="B38" s="332"/>
      <c r="C38" s="375"/>
      <c r="D38" s="382"/>
      <c r="E38" s="382"/>
      <c r="F38" s="151">
        <v>1</v>
      </c>
      <c r="G38" s="152" t="s">
        <v>62</v>
      </c>
      <c r="H38" s="151"/>
      <c r="I38" s="151"/>
      <c r="J38" s="151"/>
      <c r="K38" s="153"/>
      <c r="L38" s="218"/>
      <c r="M38" s="219" t="s">
        <v>83</v>
      </c>
      <c r="N38" s="156" t="str">
        <f>M38</f>
        <v>Glass</v>
      </c>
      <c r="O38" s="219"/>
      <c r="P38" s="156"/>
      <c r="Q38" s="219"/>
      <c r="R38" s="156"/>
      <c r="S38" s="347"/>
      <c r="T38" s="348"/>
      <c r="U38" s="348"/>
    </row>
    <row r="39" spans="1:21" ht="14.1" customHeight="1">
      <c r="A39" s="361">
        <v>2226</v>
      </c>
      <c r="B39" s="352">
        <v>226820</v>
      </c>
      <c r="C39" s="352">
        <v>671818</v>
      </c>
      <c r="D39" s="379" t="s">
        <v>134</v>
      </c>
      <c r="E39" s="379"/>
      <c r="F39" s="127">
        <f>H37+1</f>
        <v>269</v>
      </c>
      <c r="G39" s="62" t="s">
        <v>59</v>
      </c>
      <c r="H39" s="127">
        <f>H37+J39</f>
        <v>368</v>
      </c>
      <c r="I39" s="127" t="s">
        <v>60</v>
      </c>
      <c r="J39" s="127">
        <f>L39/F40</f>
        <v>100</v>
      </c>
      <c r="K39" s="128" t="s">
        <v>61</v>
      </c>
      <c r="L39" s="138">
        <v>100</v>
      </c>
      <c r="M39" s="140">
        <v>6.16</v>
      </c>
      <c r="N39" s="139">
        <f>M39*L39</f>
        <v>616</v>
      </c>
      <c r="O39" s="140">
        <v>9.2200000000000006</v>
      </c>
      <c r="P39" s="139">
        <f>O39*J39</f>
        <v>922.00000000000011</v>
      </c>
      <c r="Q39" s="154">
        <v>44</v>
      </c>
      <c r="R39" s="143">
        <v>43</v>
      </c>
      <c r="S39" s="155">
        <v>96</v>
      </c>
      <c r="T39" s="139">
        <f>Q39*R39*S39/1000000</f>
        <v>0.18163199999999999</v>
      </c>
      <c r="U39" s="144">
        <f>T39*J39</f>
        <v>18.1632</v>
      </c>
    </row>
    <row r="40" spans="1:21" ht="14.1" customHeight="1">
      <c r="A40" s="136"/>
      <c r="B40" s="137"/>
      <c r="C40" s="137"/>
      <c r="D40" s="379"/>
      <c r="E40" s="379"/>
      <c r="F40" s="127">
        <v>1</v>
      </c>
      <c r="G40" s="62" t="s">
        <v>62</v>
      </c>
      <c r="H40" s="127"/>
      <c r="I40" s="127"/>
      <c r="J40" s="127"/>
      <c r="K40" s="128"/>
      <c r="L40" s="138"/>
      <c r="M40" s="140" t="s">
        <v>132</v>
      </c>
      <c r="N40" s="139" t="str">
        <f>M40</f>
        <v>S.Steel</v>
      </c>
      <c r="O40" s="140"/>
      <c r="P40" s="139"/>
      <c r="Q40" s="140"/>
      <c r="R40" s="139"/>
      <c r="S40" s="141"/>
      <c r="T40" s="142"/>
      <c r="U40" s="142"/>
    </row>
    <row r="41" spans="1:21" ht="14.1" customHeight="1">
      <c r="A41" s="136"/>
      <c r="B41" s="137"/>
      <c r="C41" s="137"/>
      <c r="D41" s="379"/>
      <c r="E41" s="379"/>
      <c r="F41" s="127"/>
      <c r="H41" s="127"/>
      <c r="I41" s="127"/>
      <c r="J41" s="127"/>
      <c r="K41" s="128"/>
      <c r="L41" s="138"/>
      <c r="M41" s="140"/>
      <c r="N41" s="139"/>
      <c r="O41" s="147"/>
      <c r="P41" s="139"/>
      <c r="Q41" s="139"/>
      <c r="R41" s="139"/>
      <c r="S41" s="139"/>
      <c r="T41" s="142"/>
      <c r="U41" s="142"/>
    </row>
    <row r="42" spans="1:21" ht="14.1" customHeight="1" thickBot="1">
      <c r="A42" s="148"/>
      <c r="B42" s="149"/>
      <c r="C42" s="149"/>
      <c r="D42" s="150"/>
      <c r="E42" s="150"/>
      <c r="F42" s="151"/>
      <c r="G42" s="152"/>
      <c r="H42" s="151"/>
      <c r="I42" s="151"/>
      <c r="J42" s="151"/>
      <c r="K42" s="153"/>
      <c r="L42" s="218"/>
      <c r="M42" s="219"/>
      <c r="N42" s="156"/>
      <c r="O42" s="219"/>
      <c r="P42" s="156"/>
      <c r="Q42" s="220"/>
      <c r="R42" s="221"/>
      <c r="S42" s="222"/>
      <c r="T42" s="156"/>
      <c r="U42" s="223"/>
    </row>
    <row r="43" spans="1:21" ht="14.1" customHeight="1">
      <c r="A43" s="344">
        <v>2227</v>
      </c>
      <c r="B43" s="352">
        <v>226820</v>
      </c>
      <c r="C43" s="352">
        <v>671823</v>
      </c>
      <c r="D43" s="378" t="s">
        <v>135</v>
      </c>
      <c r="E43" s="378"/>
      <c r="F43" s="127">
        <f>H39+1</f>
        <v>369</v>
      </c>
      <c r="G43" s="62" t="s">
        <v>59</v>
      </c>
      <c r="H43" s="127">
        <f>H39+J43</f>
        <v>414</v>
      </c>
      <c r="I43" s="127" t="s">
        <v>60</v>
      </c>
      <c r="J43" s="127">
        <f>L43/F44</f>
        <v>46</v>
      </c>
      <c r="K43" s="128" t="s">
        <v>61</v>
      </c>
      <c r="L43" s="138">
        <v>46</v>
      </c>
      <c r="M43" s="140">
        <v>5.8</v>
      </c>
      <c r="N43" s="139">
        <f>M43*L43</f>
        <v>266.8</v>
      </c>
      <c r="O43" s="140">
        <v>8.86</v>
      </c>
      <c r="P43" s="139">
        <f>O43*J43</f>
        <v>407.55999999999995</v>
      </c>
      <c r="Q43" s="133">
        <v>44</v>
      </c>
      <c r="R43" s="134">
        <v>43</v>
      </c>
      <c r="S43" s="135">
        <v>86</v>
      </c>
      <c r="T43" s="131">
        <f>Q43*R43*S43/1000000</f>
        <v>0.162712</v>
      </c>
      <c r="U43" s="132">
        <f>T43*J43</f>
        <v>7.4847519999999994</v>
      </c>
    </row>
    <row r="44" spans="1:21" ht="14.1" customHeight="1">
      <c r="A44" s="136"/>
      <c r="B44" s="137"/>
      <c r="C44" s="137"/>
      <c r="D44" s="379"/>
      <c r="E44" s="379"/>
      <c r="F44" s="127">
        <v>1</v>
      </c>
      <c r="G44" s="62" t="s">
        <v>62</v>
      </c>
      <c r="H44" s="127"/>
      <c r="I44" s="127"/>
      <c r="J44" s="127"/>
      <c r="K44" s="128"/>
      <c r="L44" s="138"/>
      <c r="M44" s="140" t="s">
        <v>132</v>
      </c>
      <c r="N44" s="139" t="str">
        <f>M44</f>
        <v>S.Steel</v>
      </c>
      <c r="O44" s="140"/>
      <c r="P44" s="139"/>
      <c r="Q44" s="140"/>
      <c r="R44" s="139"/>
      <c r="S44" s="141"/>
      <c r="T44" s="142"/>
      <c r="U44" s="142"/>
    </row>
    <row r="45" spans="1:21" ht="14.1" customHeight="1">
      <c r="A45" s="136"/>
      <c r="B45" s="137"/>
      <c r="C45" s="137"/>
      <c r="D45" s="379"/>
      <c r="E45" s="379"/>
      <c r="F45" s="127"/>
      <c r="H45" s="127"/>
      <c r="I45" s="127"/>
      <c r="J45" s="127"/>
      <c r="K45" s="128"/>
      <c r="L45" s="138"/>
      <c r="M45" s="140"/>
      <c r="N45" s="139"/>
      <c r="O45" s="147"/>
      <c r="P45" s="139"/>
      <c r="Q45" s="139"/>
      <c r="R45" s="139"/>
      <c r="S45" s="139"/>
      <c r="T45" s="142"/>
      <c r="U45" s="142"/>
    </row>
    <row r="46" spans="1:21" ht="14.1" customHeight="1" thickBot="1">
      <c r="A46" s="148"/>
      <c r="B46" s="149"/>
      <c r="C46" s="149"/>
      <c r="D46" s="150"/>
      <c r="E46" s="150"/>
      <c r="F46" s="151"/>
      <c r="G46" s="152"/>
      <c r="H46" s="151"/>
      <c r="I46" s="151"/>
      <c r="J46" s="151"/>
      <c r="K46" s="153"/>
      <c r="L46" s="218"/>
      <c r="M46" s="219"/>
      <c r="N46" s="156"/>
      <c r="O46" s="219"/>
      <c r="P46" s="156"/>
      <c r="Q46" s="220"/>
      <c r="R46" s="221"/>
      <c r="S46" s="222"/>
      <c r="T46" s="156"/>
      <c r="U46" s="223"/>
    </row>
    <row r="47" spans="1:21" ht="14.1" customHeight="1">
      <c r="A47" s="364" t="s">
        <v>138</v>
      </c>
      <c r="B47" s="365">
        <v>236483</v>
      </c>
      <c r="C47" s="365">
        <v>728387</v>
      </c>
      <c r="D47" s="380" t="s">
        <v>137</v>
      </c>
      <c r="E47" s="380"/>
      <c r="F47" s="158">
        <f>H43+1</f>
        <v>415</v>
      </c>
      <c r="G47" s="159" t="s">
        <v>59</v>
      </c>
      <c r="H47" s="158">
        <f>H43+J47</f>
        <v>436</v>
      </c>
      <c r="I47" s="158" t="s">
        <v>60</v>
      </c>
      <c r="J47" s="158">
        <f>L47/F48</f>
        <v>22</v>
      </c>
      <c r="K47" s="160" t="s">
        <v>61</v>
      </c>
      <c r="L47" s="138">
        <v>22</v>
      </c>
      <c r="M47" s="130">
        <v>5.0999999999999996</v>
      </c>
      <c r="N47" s="131">
        <f>M47*J47</f>
        <v>112.19999999999999</v>
      </c>
      <c r="O47" s="140">
        <v>6.4</v>
      </c>
      <c r="P47" s="139">
        <f>O47*J47</f>
        <v>140.80000000000001</v>
      </c>
      <c r="Q47" s="133">
        <v>31</v>
      </c>
      <c r="R47" s="134">
        <v>7</v>
      </c>
      <c r="S47" s="135">
        <v>52</v>
      </c>
      <c r="T47" s="131">
        <f>Q47*R47*S47/1000000</f>
        <v>1.1284000000000001E-2</v>
      </c>
      <c r="U47" s="132">
        <f>T47*J47</f>
        <v>0.24824800000000002</v>
      </c>
    </row>
    <row r="48" spans="1:21" ht="14.1" customHeight="1">
      <c r="A48" s="136"/>
      <c r="B48" s="137"/>
      <c r="C48" s="137"/>
      <c r="D48" s="381"/>
      <c r="E48" s="381"/>
      <c r="F48" s="127">
        <v>1</v>
      </c>
      <c r="G48" s="62" t="s">
        <v>62</v>
      </c>
      <c r="H48" s="127"/>
      <c r="I48" s="127"/>
      <c r="J48" s="127"/>
      <c r="K48" s="128"/>
      <c r="L48" s="138"/>
      <c r="M48" s="140" t="s">
        <v>130</v>
      </c>
      <c r="N48" s="139" t="str">
        <f>M48</f>
        <v>Marble</v>
      </c>
      <c r="O48" s="140"/>
      <c r="P48" s="139"/>
      <c r="Q48" s="140"/>
      <c r="R48" s="139"/>
      <c r="S48" s="141"/>
      <c r="T48" s="142"/>
      <c r="U48" s="142"/>
    </row>
    <row r="49" spans="1:22" ht="14.1" customHeight="1">
      <c r="A49" s="136"/>
      <c r="B49" s="137"/>
      <c r="C49" s="137"/>
      <c r="D49" s="366"/>
      <c r="E49" s="366"/>
      <c r="F49" s="127"/>
      <c r="H49" s="127"/>
      <c r="I49" s="127"/>
      <c r="J49" s="127"/>
      <c r="K49" s="128"/>
      <c r="L49" s="138"/>
      <c r="M49" s="140"/>
      <c r="N49" s="139"/>
      <c r="O49" s="147"/>
      <c r="P49" s="139"/>
      <c r="Q49" s="139"/>
      <c r="R49" s="139"/>
      <c r="S49" s="139"/>
      <c r="T49" s="142"/>
      <c r="U49" s="142"/>
    </row>
    <row r="50" spans="1:22" ht="14.1" customHeight="1" thickBot="1">
      <c r="A50" s="148"/>
      <c r="B50" s="149"/>
      <c r="C50" s="149"/>
      <c r="D50" s="367"/>
      <c r="E50" s="367"/>
      <c r="F50" s="151"/>
      <c r="G50" s="152"/>
      <c r="H50" s="151"/>
      <c r="I50" s="151"/>
      <c r="J50" s="151"/>
      <c r="K50" s="153"/>
      <c r="L50" s="218"/>
      <c r="M50" s="219"/>
      <c r="N50" s="156"/>
      <c r="O50" s="219"/>
      <c r="P50" s="156"/>
      <c r="Q50" s="220"/>
      <c r="R50" s="221"/>
      <c r="S50" s="222"/>
      <c r="T50" s="156"/>
      <c r="U50" s="223"/>
    </row>
    <row r="51" spans="1:22" ht="14.1" customHeight="1">
      <c r="A51" s="349" t="s">
        <v>140</v>
      </c>
      <c r="B51" s="346">
        <v>232554</v>
      </c>
      <c r="C51" s="346">
        <v>699303</v>
      </c>
      <c r="D51" s="378" t="s">
        <v>144</v>
      </c>
      <c r="E51" s="378"/>
      <c r="F51" s="158">
        <f>H47+1</f>
        <v>437</v>
      </c>
      <c r="G51" s="159" t="s">
        <v>59</v>
      </c>
      <c r="H51" s="158">
        <f>H47+J51</f>
        <v>461</v>
      </c>
      <c r="I51" s="158" t="s">
        <v>60</v>
      </c>
      <c r="J51" s="158">
        <f>L51/F52</f>
        <v>25</v>
      </c>
      <c r="K51" s="160" t="s">
        <v>61</v>
      </c>
      <c r="L51" s="129">
        <v>25</v>
      </c>
      <c r="M51" s="140">
        <v>8.1999999999999993</v>
      </c>
      <c r="N51" s="139">
        <f>M51*J51</f>
        <v>204.99999999999997</v>
      </c>
      <c r="O51" s="140">
        <v>14.5</v>
      </c>
      <c r="P51" s="139">
        <f>O51*J51</f>
        <v>362.5</v>
      </c>
      <c r="Q51" s="133">
        <v>86</v>
      </c>
      <c r="R51" s="134">
        <v>85</v>
      </c>
      <c r="S51" s="135">
        <v>39</v>
      </c>
      <c r="T51" s="131">
        <f>Q51*R51*S51/1000000</f>
        <v>0.28509000000000001</v>
      </c>
      <c r="U51" s="132">
        <f>T51*J51</f>
        <v>7.1272500000000001</v>
      </c>
    </row>
    <row r="52" spans="1:22" ht="14.1" customHeight="1">
      <c r="A52" s="136"/>
      <c r="B52" s="137"/>
      <c r="C52" s="137"/>
      <c r="D52" s="379"/>
      <c r="E52" s="379"/>
      <c r="F52" s="127">
        <v>1</v>
      </c>
      <c r="G52" s="62" t="s">
        <v>145</v>
      </c>
      <c r="H52" s="127"/>
      <c r="I52" s="127"/>
      <c r="J52" s="127"/>
      <c r="K52" s="128"/>
      <c r="L52" s="138"/>
      <c r="M52" s="140" t="s">
        <v>132</v>
      </c>
      <c r="N52" s="139" t="str">
        <f>M52</f>
        <v>S.Steel</v>
      </c>
      <c r="O52" s="140"/>
      <c r="P52" s="139"/>
      <c r="Q52" s="140"/>
      <c r="R52" s="139"/>
      <c r="S52" s="141"/>
      <c r="T52" s="142"/>
      <c r="U52" s="142"/>
    </row>
    <row r="53" spans="1:22" ht="14.1" customHeight="1">
      <c r="A53" s="136"/>
      <c r="B53" s="137"/>
      <c r="C53" s="137"/>
      <c r="D53" s="379"/>
      <c r="E53" s="379"/>
      <c r="F53" s="127"/>
      <c r="H53" s="127"/>
      <c r="I53" s="127"/>
      <c r="J53" s="127"/>
      <c r="K53" s="128"/>
      <c r="L53" s="138"/>
      <c r="M53" s="140">
        <v>1.1000000000000001</v>
      </c>
      <c r="N53" s="139">
        <f>M53*J51</f>
        <v>27.500000000000004</v>
      </c>
      <c r="O53" s="147"/>
      <c r="P53" s="139"/>
      <c r="Q53" s="139"/>
      <c r="R53" s="139"/>
      <c r="S53" s="139"/>
      <c r="T53" s="142"/>
      <c r="U53" s="142"/>
    </row>
    <row r="54" spans="1:22" ht="14.1" customHeight="1" thickBot="1">
      <c r="A54" s="148"/>
      <c r="B54" s="149"/>
      <c r="C54" s="149"/>
      <c r="D54" s="150"/>
      <c r="E54" s="150"/>
      <c r="F54" s="151"/>
      <c r="G54" s="152"/>
      <c r="H54" s="151"/>
      <c r="I54" s="151"/>
      <c r="J54" s="151"/>
      <c r="K54" s="153"/>
      <c r="L54" s="218"/>
      <c r="M54" s="219" t="s">
        <v>136</v>
      </c>
      <c r="N54" s="156" t="str">
        <f>M54</f>
        <v>JUTE</v>
      </c>
      <c r="O54" s="219"/>
      <c r="P54" s="156"/>
      <c r="Q54" s="220"/>
      <c r="R54" s="221"/>
      <c r="S54" s="222"/>
      <c r="T54" s="156"/>
      <c r="U54" s="223"/>
    </row>
    <row r="55" spans="1:22" s="170" customFormat="1" ht="16.5" customHeight="1" thickBot="1">
      <c r="A55" s="161"/>
      <c r="B55" s="162"/>
      <c r="C55" s="162"/>
      <c r="D55" s="163"/>
      <c r="E55" s="163"/>
      <c r="F55" s="383" t="s">
        <v>44</v>
      </c>
      <c r="G55" s="383"/>
      <c r="H55" s="164"/>
      <c r="I55" s="164"/>
      <c r="J55" s="216">
        <f>SUM(J27:J52)</f>
        <v>461</v>
      </c>
      <c r="K55" s="164"/>
      <c r="L55" s="216">
        <f>SUM(L27:L54)</f>
        <v>461</v>
      </c>
      <c r="M55" s="165"/>
      <c r="N55" s="166">
        <f>SUM(N27:N54)</f>
        <v>2938.4</v>
      </c>
      <c r="O55" s="165"/>
      <c r="P55" s="166">
        <f>SUM(P27:P54)</f>
        <v>4277.92</v>
      </c>
      <c r="Q55" s="167"/>
      <c r="R55" s="164"/>
      <c r="S55" s="167"/>
      <c r="T55" s="167"/>
      <c r="U55" s="168">
        <f>SUM(U27:U54)</f>
        <v>62.218108000000001</v>
      </c>
      <c r="V55" s="169"/>
    </row>
    <row r="56" spans="1:22" ht="16.5" customHeight="1">
      <c r="A56" s="171" t="s">
        <v>66</v>
      </c>
      <c r="B56" s="172"/>
      <c r="C56" s="172"/>
      <c r="D56" s="173">
        <f>N30</f>
        <v>629.6</v>
      </c>
      <c r="E56" s="174" t="s">
        <v>67</v>
      </c>
      <c r="F56" s="172"/>
      <c r="J56" s="158"/>
      <c r="K56" s="175"/>
      <c r="L56" s="158"/>
      <c r="M56" s="130"/>
      <c r="N56" s="30" t="s">
        <v>34</v>
      </c>
      <c r="O56" s="130"/>
      <c r="P56" s="130"/>
      <c r="Q56" s="130"/>
      <c r="R56" s="130"/>
      <c r="S56" s="130"/>
      <c r="T56" s="130"/>
      <c r="U56" s="176"/>
    </row>
    <row r="57" spans="1:22" ht="15" customHeight="1">
      <c r="A57" s="177" t="s">
        <v>68</v>
      </c>
      <c r="B57" s="178"/>
      <c r="C57" s="178"/>
      <c r="D57" s="179">
        <f>N37</f>
        <v>234</v>
      </c>
      <c r="E57" s="29" t="s">
        <v>67</v>
      </c>
      <c r="F57" s="178"/>
      <c r="J57" s="127"/>
      <c r="K57" s="180"/>
      <c r="L57" s="127"/>
      <c r="M57" s="140"/>
      <c r="N57" s="140"/>
      <c r="O57" s="140"/>
      <c r="P57" s="140"/>
      <c r="Q57" s="140"/>
      <c r="R57" s="140"/>
      <c r="S57" s="140"/>
      <c r="T57" s="140"/>
      <c r="U57" s="147"/>
      <c r="V57" s="181"/>
    </row>
    <row r="58" spans="1:22" ht="15" customHeight="1">
      <c r="A58" s="177" t="s">
        <v>69</v>
      </c>
      <c r="B58" s="178"/>
      <c r="C58" s="178"/>
      <c r="D58" s="179">
        <f>N27</f>
        <v>181.3</v>
      </c>
      <c r="E58" s="29" t="s">
        <v>67</v>
      </c>
      <c r="J58" s="127"/>
      <c r="K58" s="180"/>
      <c r="L58" s="127"/>
      <c r="M58" s="140"/>
      <c r="N58" s="140"/>
      <c r="O58" s="140"/>
      <c r="P58" s="140"/>
      <c r="Q58" s="140"/>
      <c r="R58" s="140"/>
      <c r="S58" s="140"/>
      <c r="T58" s="140"/>
      <c r="U58" s="147"/>
      <c r="V58" s="181"/>
    </row>
    <row r="59" spans="1:22" ht="15" customHeight="1">
      <c r="A59" s="177" t="s">
        <v>87</v>
      </c>
      <c r="B59" s="178"/>
      <c r="C59" s="178"/>
      <c r="D59" s="179">
        <f>N33+N39+N43+N51</f>
        <v>1753.8</v>
      </c>
      <c r="E59" s="29" t="s">
        <v>67</v>
      </c>
      <c r="J59" s="127"/>
      <c r="K59" s="180"/>
      <c r="L59" s="127"/>
      <c r="M59" s="140"/>
      <c r="N59" s="140"/>
      <c r="O59" s="140"/>
      <c r="P59" s="140"/>
      <c r="Q59" s="140"/>
      <c r="R59" s="140"/>
      <c r="S59" s="140"/>
      <c r="T59" s="140"/>
      <c r="U59" s="147"/>
      <c r="V59" s="181"/>
    </row>
    <row r="60" spans="1:22" ht="15" customHeight="1">
      <c r="A60" s="177" t="s">
        <v>131</v>
      </c>
      <c r="B60" s="178"/>
      <c r="C60" s="178"/>
      <c r="D60" s="179">
        <f>N47</f>
        <v>112.19999999999999</v>
      </c>
      <c r="E60" s="29" t="s">
        <v>67</v>
      </c>
      <c r="J60" s="127"/>
      <c r="K60" s="180"/>
      <c r="L60" s="127"/>
      <c r="M60" s="140"/>
      <c r="N60" s="140"/>
      <c r="O60" s="140"/>
      <c r="P60" s="140"/>
      <c r="Q60" s="140"/>
      <c r="R60" s="140"/>
      <c r="S60" s="140"/>
      <c r="T60" s="140"/>
      <c r="U60" s="147"/>
      <c r="V60" s="181"/>
    </row>
    <row r="61" spans="1:22" ht="15" customHeight="1">
      <c r="A61" s="177" t="s">
        <v>146</v>
      </c>
      <c r="B61" s="178"/>
      <c r="C61" s="178"/>
      <c r="D61" s="179">
        <f>N53</f>
        <v>27.500000000000004</v>
      </c>
      <c r="E61" s="29" t="s">
        <v>67</v>
      </c>
      <c r="J61" s="127"/>
      <c r="K61" s="180"/>
      <c r="L61" s="127"/>
      <c r="M61" s="140"/>
      <c r="N61" s="140"/>
      <c r="O61" s="140"/>
      <c r="P61" s="140"/>
      <c r="Q61" s="140"/>
      <c r="R61" s="140"/>
      <c r="S61" s="140"/>
      <c r="T61" s="140"/>
      <c r="U61" s="147"/>
      <c r="V61" s="181"/>
    </row>
    <row r="62" spans="1:22" ht="15" customHeight="1">
      <c r="A62" s="177"/>
      <c r="B62" s="178"/>
      <c r="C62" s="178"/>
      <c r="D62" s="179"/>
      <c r="E62" s="29"/>
      <c r="J62" s="127"/>
      <c r="K62" s="180"/>
      <c r="L62" s="127"/>
      <c r="M62" s="140"/>
      <c r="N62" s="140"/>
      <c r="O62" s="140"/>
      <c r="P62" s="140"/>
      <c r="Q62" s="140"/>
      <c r="R62" s="140"/>
      <c r="S62" s="140"/>
      <c r="T62" s="140"/>
      <c r="U62" s="147"/>
      <c r="V62" s="181"/>
    </row>
    <row r="63" spans="1:22" ht="15" customHeight="1">
      <c r="A63" s="177" t="s">
        <v>70</v>
      </c>
      <c r="B63" s="178"/>
      <c r="C63" s="178"/>
      <c r="D63" s="179">
        <f>SUM(D56:D62)</f>
        <v>2938.3999999999996</v>
      </c>
      <c r="E63" s="29" t="s">
        <v>67</v>
      </c>
      <c r="F63" s="182"/>
      <c r="J63" s="127"/>
      <c r="K63" s="180"/>
      <c r="L63" s="127"/>
      <c r="M63" s="140"/>
      <c r="N63" s="140"/>
      <c r="O63" s="140"/>
      <c r="P63" s="140"/>
      <c r="Q63" s="140"/>
      <c r="R63" s="140"/>
      <c r="S63" s="140"/>
      <c r="T63" s="140"/>
      <c r="U63" s="147"/>
      <c r="V63" s="183"/>
    </row>
    <row r="64" spans="1:22" ht="15" customHeight="1">
      <c r="A64" s="177" t="s">
        <v>71</v>
      </c>
      <c r="B64" s="178"/>
      <c r="C64" s="178"/>
      <c r="D64" s="179">
        <f>P55</f>
        <v>4277.92</v>
      </c>
      <c r="E64" s="29" t="s">
        <v>67</v>
      </c>
      <c r="J64" s="127"/>
      <c r="K64" s="180"/>
      <c r="L64" s="127"/>
      <c r="M64" s="140"/>
      <c r="N64" s="140"/>
      <c r="O64" s="140"/>
      <c r="P64" s="140"/>
      <c r="Q64" s="140"/>
      <c r="R64" s="140"/>
      <c r="S64" s="140"/>
      <c r="T64" s="140"/>
      <c r="U64" s="147"/>
      <c r="V64" s="183"/>
    </row>
    <row r="65" spans="1:22" ht="15" customHeight="1">
      <c r="A65" s="184"/>
      <c r="B65" s="185"/>
      <c r="C65" s="185"/>
      <c r="D65" s="186"/>
      <c r="E65" s="187"/>
      <c r="F65" s="180"/>
      <c r="J65" s="127"/>
      <c r="K65" s="180"/>
      <c r="L65" s="127"/>
      <c r="M65" s="140"/>
      <c r="N65" s="140"/>
      <c r="O65" s="140"/>
      <c r="P65" s="140"/>
      <c r="Q65" s="140"/>
      <c r="R65" s="140"/>
      <c r="S65" s="140"/>
      <c r="T65" s="140"/>
      <c r="U65" s="147"/>
      <c r="V65" s="183"/>
    </row>
    <row r="66" spans="1:22" ht="15" customHeight="1">
      <c r="A66" s="177" t="s">
        <v>72</v>
      </c>
      <c r="B66" s="178"/>
      <c r="C66" s="178"/>
      <c r="D66" s="188">
        <f>L55</f>
        <v>461</v>
      </c>
      <c r="E66" s="189" t="s">
        <v>73</v>
      </c>
      <c r="F66" s="178"/>
      <c r="J66" s="127"/>
      <c r="K66" s="180"/>
      <c r="L66" s="127"/>
      <c r="M66" s="140"/>
      <c r="N66" s="140"/>
      <c r="O66" s="140"/>
      <c r="P66" s="140"/>
      <c r="Q66" s="140"/>
      <c r="R66" s="140"/>
      <c r="S66" s="140"/>
      <c r="T66" s="140"/>
      <c r="U66" s="147"/>
      <c r="V66" s="183"/>
    </row>
    <row r="67" spans="1:22" ht="15" customHeight="1">
      <c r="A67" s="177" t="s">
        <v>74</v>
      </c>
      <c r="B67" s="178"/>
      <c r="C67" s="178"/>
      <c r="D67" s="188">
        <f>J55</f>
        <v>461</v>
      </c>
      <c r="E67" s="189" t="s">
        <v>75</v>
      </c>
      <c r="F67" s="178"/>
      <c r="J67" s="127"/>
      <c r="K67" s="180"/>
      <c r="L67" s="127"/>
      <c r="M67" s="140"/>
      <c r="N67" s="140"/>
      <c r="O67" s="140"/>
      <c r="P67" s="140"/>
      <c r="Q67" s="140"/>
      <c r="R67" s="140"/>
      <c r="S67" s="140"/>
      <c r="T67" s="140"/>
      <c r="U67" s="147"/>
      <c r="V67" s="183"/>
    </row>
    <row r="68" spans="1:22" ht="15" customHeight="1" thickBot="1">
      <c r="A68" s="177" t="s">
        <v>76</v>
      </c>
      <c r="B68" s="178"/>
      <c r="C68" s="178"/>
      <c r="D68" s="179">
        <f>U55</f>
        <v>62.218108000000001</v>
      </c>
      <c r="E68" s="190" t="s">
        <v>57</v>
      </c>
      <c r="F68" s="178"/>
      <c r="J68" s="127"/>
      <c r="K68" s="180"/>
      <c r="L68" s="127"/>
      <c r="M68" s="140"/>
      <c r="N68" s="140"/>
      <c r="O68" s="140"/>
      <c r="P68" s="140"/>
      <c r="Q68" s="140"/>
      <c r="R68" s="140"/>
      <c r="S68" s="140"/>
      <c r="T68" s="140"/>
      <c r="U68" s="147"/>
      <c r="V68" s="183"/>
    </row>
    <row r="69" spans="1:22" ht="15" customHeight="1">
      <c r="A69" s="191"/>
      <c r="B69" s="192"/>
      <c r="C69" s="192"/>
      <c r="F69" s="193"/>
      <c r="G69" s="193"/>
      <c r="H69" s="193"/>
      <c r="I69" s="193"/>
      <c r="J69" s="193"/>
      <c r="K69" s="194"/>
      <c r="L69" s="195"/>
      <c r="M69" s="140"/>
      <c r="N69" s="196" t="s">
        <v>77</v>
      </c>
      <c r="O69" s="130"/>
      <c r="P69" s="130"/>
      <c r="Q69" s="130"/>
      <c r="R69" s="130"/>
      <c r="S69" s="130"/>
      <c r="T69" s="130"/>
      <c r="U69" s="197"/>
      <c r="V69" s="183"/>
    </row>
    <row r="70" spans="1:22" ht="15" customHeight="1">
      <c r="A70" s="191"/>
      <c r="B70" s="192"/>
      <c r="C70" s="192"/>
      <c r="F70" s="193"/>
      <c r="G70" s="193"/>
      <c r="H70" s="193"/>
      <c r="I70" s="193"/>
      <c r="J70" s="193"/>
      <c r="K70" s="194"/>
      <c r="L70" s="195"/>
      <c r="M70" s="140"/>
      <c r="N70" s="198"/>
      <c r="O70" s="140"/>
      <c r="P70" s="140"/>
      <c r="Q70" s="140"/>
      <c r="R70" s="140"/>
      <c r="S70" s="140"/>
      <c r="T70" s="140"/>
      <c r="U70" s="147"/>
      <c r="V70" s="183"/>
    </row>
    <row r="71" spans="1:22" ht="15" customHeight="1">
      <c r="A71" s="199"/>
      <c r="B71" s="200"/>
      <c r="C71" s="200"/>
      <c r="D71" s="145"/>
      <c r="E71" s="145"/>
      <c r="F71" s="201"/>
      <c r="G71" s="202"/>
      <c r="H71" s="192"/>
      <c r="J71" s="127"/>
      <c r="K71" s="180"/>
      <c r="N71" s="203"/>
      <c r="U71" s="147"/>
    </row>
    <row r="72" spans="1:22" ht="15" customHeight="1">
      <c r="A72" s="204" t="s">
        <v>78</v>
      </c>
      <c r="B72" s="62"/>
      <c r="C72" s="62"/>
      <c r="M72" s="205"/>
      <c r="N72" s="206"/>
      <c r="O72" s="207"/>
      <c r="P72" s="207"/>
      <c r="Q72" s="207"/>
      <c r="R72" s="207"/>
      <c r="S72" s="207"/>
      <c r="T72" s="207"/>
      <c r="U72" s="208"/>
    </row>
    <row r="73" spans="1:22">
      <c r="A73" s="209" t="s">
        <v>79</v>
      </c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05"/>
      <c r="N73" s="206"/>
      <c r="O73" s="207"/>
      <c r="P73" s="207"/>
      <c r="Q73" s="207"/>
      <c r="R73" s="207"/>
      <c r="S73" s="207"/>
      <c r="T73" s="207"/>
      <c r="U73" s="208"/>
    </row>
    <row r="74" spans="1:22" ht="15" thickBot="1">
      <c r="A74" s="211" t="s">
        <v>80</v>
      </c>
      <c r="B74" s="212"/>
      <c r="C74" s="212"/>
      <c r="D74" s="212"/>
      <c r="E74" s="212"/>
      <c r="F74" s="212"/>
      <c r="G74" s="212"/>
      <c r="H74" s="212"/>
      <c r="I74" s="212"/>
      <c r="J74" s="212"/>
      <c r="K74" s="212"/>
      <c r="L74" s="212"/>
      <c r="M74" s="38"/>
      <c r="N74" s="34"/>
      <c r="O74" s="35"/>
      <c r="P74" s="35"/>
      <c r="Q74" s="35"/>
      <c r="R74" s="35" t="s">
        <v>81</v>
      </c>
      <c r="S74" s="35"/>
      <c r="T74" s="35"/>
      <c r="U74" s="213"/>
    </row>
  </sheetData>
  <mergeCells count="29">
    <mergeCell ref="A23:K23"/>
    <mergeCell ref="A1:U1"/>
    <mergeCell ref="O2:U2"/>
    <mergeCell ref="A11:D11"/>
    <mergeCell ref="L11:N11"/>
    <mergeCell ref="A12:D12"/>
    <mergeCell ref="L12:N12"/>
    <mergeCell ref="D30:E31"/>
    <mergeCell ref="F55:G55"/>
    <mergeCell ref="A13:D13"/>
    <mergeCell ref="L13:N13"/>
    <mergeCell ref="A14:D14"/>
    <mergeCell ref="L14:P14"/>
    <mergeCell ref="L18:U22"/>
    <mergeCell ref="F22:G22"/>
    <mergeCell ref="L23:U23"/>
    <mergeCell ref="D24:U24"/>
    <mergeCell ref="A25:A26"/>
    <mergeCell ref="B25:B26"/>
    <mergeCell ref="C25:C26"/>
    <mergeCell ref="D25:E26"/>
    <mergeCell ref="F25:H26"/>
    <mergeCell ref="I25:K26"/>
    <mergeCell ref="D51:E53"/>
    <mergeCell ref="D47:E48"/>
    <mergeCell ref="D39:E41"/>
    <mergeCell ref="D43:E45"/>
    <mergeCell ref="D33:E34"/>
    <mergeCell ref="D37:E38"/>
  </mergeCells>
  <hyperlinks>
    <hyperlink ref="A8" r:id="rId1" xr:uid="{E74B80DC-D3B5-4D68-BC00-FA56734C0CE4}"/>
  </hyperlinks>
  <pageMargins left="0.19685039370078741" right="0" top="0.19685039370078741" bottom="0" header="0" footer="0"/>
  <pageSetup scale="50"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INVOICE</vt:lpstr>
      <vt:lpstr>PACKING</vt:lpstr>
      <vt:lpstr>INVOICE!Print_Area</vt:lpstr>
      <vt:lpstr>PACKING!Print_Area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HP</cp:lastModifiedBy>
  <cp:lastPrinted>2026-10-06T05:44:56Z</cp:lastPrinted>
  <dcterms:created xsi:type="dcterms:W3CDTF">2015-06-05T18:17:20Z</dcterms:created>
  <dcterms:modified xsi:type="dcterms:W3CDTF">2026-10-06T10:50:50Z</dcterms:modified>
</cp:coreProperties>
</file>